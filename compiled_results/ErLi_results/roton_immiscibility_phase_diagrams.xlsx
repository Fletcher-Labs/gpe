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ubaiyaemran/Downloads/"/>
    </mc:Choice>
  </mc:AlternateContent>
  <xr:revisionPtr revIDLastSave="0" documentId="13_ncr:1_{9D5F2286-BF94-3C42-8B8F-26AC651B971E}" xr6:coauthVersionLast="47" xr6:coauthVersionMax="47" xr10:uidLastSave="{00000000-0000-0000-0000-000000000000}"/>
  <bookViews>
    <workbookView xWindow="5420" yWindow="740" windowWidth="23980" windowHeight="15300" xr2:uid="{C266042D-64E6-F444-B482-6B3430912B05}"/>
  </bookViews>
  <sheets>
    <sheet name="2D" sheetId="1" r:id="rId1"/>
    <sheet name="1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2" l="1"/>
  <c r="C35" i="2"/>
  <c r="D35" i="2" s="1"/>
  <c r="C36" i="2"/>
  <c r="D36" i="2" s="1"/>
  <c r="C33" i="2"/>
  <c r="D33" i="2" s="1"/>
  <c r="E36" i="2"/>
  <c r="J36" i="2" s="1"/>
  <c r="E35" i="2"/>
  <c r="J35" i="2" s="1"/>
  <c r="E34" i="2"/>
  <c r="J34" i="2" s="1"/>
  <c r="D34" i="2"/>
  <c r="E33" i="2"/>
  <c r="J33" i="2" s="1"/>
  <c r="D32" i="2"/>
  <c r="E32" i="2"/>
  <c r="J32" i="2" s="1"/>
  <c r="E31" i="2"/>
  <c r="J31" i="2" s="1"/>
  <c r="D31" i="2"/>
  <c r="E30" i="2"/>
  <c r="J30" i="2" s="1"/>
  <c r="D30" i="2"/>
  <c r="E29" i="2"/>
  <c r="J29" i="2" s="1"/>
  <c r="D29" i="2"/>
  <c r="E28" i="2"/>
  <c r="J28" i="2" s="1"/>
  <c r="D28" i="2"/>
  <c r="E27" i="2"/>
  <c r="J27" i="2" s="1"/>
  <c r="D27" i="2"/>
  <c r="E26" i="2"/>
  <c r="J26" i="2" s="1"/>
  <c r="D26" i="2"/>
  <c r="E25" i="2"/>
  <c r="J25" i="2" s="1"/>
  <c r="D25" i="2"/>
  <c r="E24" i="2"/>
  <c r="J24" i="2" s="1"/>
  <c r="D24" i="2"/>
  <c r="E23" i="2"/>
  <c r="J23" i="2" s="1"/>
  <c r="D23" i="2"/>
  <c r="E22" i="2"/>
  <c r="J22" i="2" s="1"/>
  <c r="D22" i="2"/>
  <c r="E21" i="2"/>
  <c r="J21" i="2" s="1"/>
  <c r="D21" i="2"/>
  <c r="E20" i="2"/>
  <c r="J20" i="2" s="1"/>
  <c r="D20" i="2"/>
  <c r="E19" i="2"/>
  <c r="J19" i="2" s="1"/>
  <c r="D19" i="2"/>
  <c r="E18" i="2"/>
  <c r="J18" i="2" s="1"/>
  <c r="D18" i="2"/>
  <c r="E17" i="2"/>
  <c r="J17" i="2" s="1"/>
  <c r="D17" i="2"/>
  <c r="E16" i="2"/>
  <c r="J16" i="2" s="1"/>
  <c r="D16" i="2"/>
  <c r="E15" i="2"/>
  <c r="J15" i="2" s="1"/>
  <c r="D15" i="2"/>
  <c r="E14" i="2"/>
  <c r="J14" i="2" s="1"/>
  <c r="D14" i="2"/>
  <c r="E13" i="2"/>
  <c r="J13" i="2" s="1"/>
  <c r="D13" i="2"/>
  <c r="E12" i="2"/>
  <c r="J12" i="2" s="1"/>
  <c r="D12" i="2"/>
  <c r="E11" i="2"/>
  <c r="J11" i="2" s="1"/>
  <c r="D11" i="2"/>
  <c r="E10" i="2"/>
  <c r="J10" i="2" s="1"/>
  <c r="D10" i="2"/>
  <c r="Q2" i="2"/>
  <c r="E9" i="2"/>
  <c r="J9" i="2" s="1"/>
  <c r="D9" i="2"/>
  <c r="E8" i="2"/>
  <c r="J8" i="2" s="1"/>
  <c r="D8" i="2"/>
  <c r="E7" i="2"/>
  <c r="J7" i="2" s="1"/>
  <c r="D7" i="2"/>
  <c r="E6" i="2"/>
  <c r="J6" i="2" s="1"/>
  <c r="D6" i="2"/>
  <c r="E5" i="2"/>
  <c r="J5" i="2" s="1"/>
  <c r="D5" i="2"/>
  <c r="E4" i="2"/>
  <c r="J4" i="2" s="1"/>
  <c r="D4" i="2"/>
  <c r="E3" i="2"/>
  <c r="J3" i="2" s="1"/>
  <c r="D3" i="2"/>
  <c r="E2" i="2"/>
  <c r="J2" i="2" s="1"/>
  <c r="D2" i="2"/>
  <c r="D47" i="1"/>
  <c r="D48" i="1"/>
  <c r="D49" i="1"/>
  <c r="D50" i="1"/>
  <c r="D51" i="1"/>
  <c r="L40" i="1"/>
  <c r="L41" i="1"/>
  <c r="L42" i="1"/>
  <c r="L43" i="1"/>
  <c r="L44" i="1"/>
  <c r="L45" i="1"/>
  <c r="L46" i="1"/>
  <c r="L47" i="1"/>
  <c r="L48" i="1"/>
  <c r="L49" i="1"/>
  <c r="L50" i="1"/>
  <c r="L51" i="1"/>
  <c r="E51" i="1"/>
  <c r="E48" i="1"/>
  <c r="E47" i="1"/>
  <c r="J47" i="1" s="1"/>
  <c r="K47" i="1" s="1"/>
  <c r="E46" i="1"/>
  <c r="D46" i="1"/>
  <c r="E45" i="1"/>
  <c r="D45" i="1"/>
  <c r="E44" i="1"/>
  <c r="D44" i="1"/>
  <c r="E43" i="1"/>
  <c r="J43" i="1" s="1"/>
  <c r="K43" i="1" s="1"/>
  <c r="D43" i="1"/>
  <c r="E42" i="1"/>
  <c r="D42" i="1"/>
  <c r="E41" i="1"/>
  <c r="D41" i="1"/>
  <c r="E40" i="1"/>
  <c r="D40" i="1"/>
  <c r="E39" i="1"/>
  <c r="D39" i="1"/>
  <c r="D22" i="1"/>
  <c r="E22" i="1"/>
  <c r="J22" i="1" s="1"/>
  <c r="K22" i="1" s="1"/>
  <c r="D23" i="1"/>
  <c r="E23" i="1"/>
  <c r="J23" i="1" s="1"/>
  <c r="K23" i="1" s="1"/>
  <c r="D24" i="1"/>
  <c r="E24" i="1"/>
  <c r="J24" i="1" s="1"/>
  <c r="K24" i="1" s="1"/>
  <c r="T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5" i="1"/>
  <c r="D26" i="1"/>
  <c r="D27" i="1"/>
  <c r="D28" i="1"/>
  <c r="D29" i="1"/>
  <c r="D30" i="1"/>
  <c r="D31" i="1"/>
  <c r="D32" i="1"/>
  <c r="D33" i="1"/>
  <c r="D34" i="1"/>
  <c r="D38" i="1"/>
  <c r="D2" i="1"/>
  <c r="E3" i="1"/>
  <c r="J3" i="1" s="1"/>
  <c r="K3" i="1" s="1"/>
  <c r="E4" i="1"/>
  <c r="J4" i="1" s="1"/>
  <c r="K4" i="1" s="1"/>
  <c r="E5" i="1"/>
  <c r="J5" i="1" s="1"/>
  <c r="K5" i="1" s="1"/>
  <c r="E6" i="1"/>
  <c r="J6" i="1" s="1"/>
  <c r="K6" i="1" s="1"/>
  <c r="E7" i="1"/>
  <c r="J7" i="1" s="1"/>
  <c r="K7" i="1" s="1"/>
  <c r="E8" i="1"/>
  <c r="J8" i="1" s="1"/>
  <c r="K8" i="1" s="1"/>
  <c r="E9" i="1"/>
  <c r="J9" i="1" s="1"/>
  <c r="K9" i="1" s="1"/>
  <c r="E10" i="1"/>
  <c r="J10" i="1" s="1"/>
  <c r="K10" i="1" s="1"/>
  <c r="E11" i="1"/>
  <c r="J11" i="1" s="1"/>
  <c r="K11" i="1" s="1"/>
  <c r="E12" i="1"/>
  <c r="J12" i="1" s="1"/>
  <c r="K12" i="1" s="1"/>
  <c r="E13" i="1"/>
  <c r="J13" i="1" s="1"/>
  <c r="K13" i="1" s="1"/>
  <c r="E14" i="1"/>
  <c r="J14" i="1" s="1"/>
  <c r="K14" i="1" s="1"/>
  <c r="E15" i="1"/>
  <c r="J15" i="1" s="1"/>
  <c r="K15" i="1" s="1"/>
  <c r="E16" i="1"/>
  <c r="J16" i="1" s="1"/>
  <c r="K16" i="1" s="1"/>
  <c r="E17" i="1"/>
  <c r="J17" i="1" s="1"/>
  <c r="K17" i="1" s="1"/>
  <c r="E18" i="1"/>
  <c r="J18" i="1" s="1"/>
  <c r="K18" i="1" s="1"/>
  <c r="E19" i="1"/>
  <c r="J19" i="1" s="1"/>
  <c r="K19" i="1" s="1"/>
  <c r="E20" i="1"/>
  <c r="J20" i="1" s="1"/>
  <c r="K20" i="1" s="1"/>
  <c r="E21" i="1"/>
  <c r="J21" i="1" s="1"/>
  <c r="K21" i="1" s="1"/>
  <c r="E25" i="1"/>
  <c r="J25" i="1" s="1"/>
  <c r="K25" i="1" s="1"/>
  <c r="E26" i="1"/>
  <c r="J26" i="1" s="1"/>
  <c r="K26" i="1" s="1"/>
  <c r="E27" i="1"/>
  <c r="J27" i="1" s="1"/>
  <c r="K27" i="1" s="1"/>
  <c r="E28" i="1"/>
  <c r="J28" i="1" s="1"/>
  <c r="K28" i="1" s="1"/>
  <c r="E29" i="1"/>
  <c r="J29" i="1" s="1"/>
  <c r="K29" i="1" s="1"/>
  <c r="E30" i="1"/>
  <c r="J30" i="1" s="1"/>
  <c r="K30" i="1" s="1"/>
  <c r="E31" i="1"/>
  <c r="J31" i="1" s="1"/>
  <c r="K31" i="1" s="1"/>
  <c r="E32" i="1"/>
  <c r="J32" i="1" s="1"/>
  <c r="K32" i="1" s="1"/>
  <c r="E33" i="1"/>
  <c r="J33" i="1" s="1"/>
  <c r="K33" i="1" s="1"/>
  <c r="E34" i="1"/>
  <c r="J34" i="1" s="1"/>
  <c r="K34" i="1" s="1"/>
  <c r="E38" i="1"/>
  <c r="J38" i="1" s="1"/>
  <c r="K38" i="1" s="1"/>
  <c r="E2" i="1"/>
  <c r="J2" i="1" s="1"/>
  <c r="K2" i="1" s="1"/>
  <c r="J41" i="1" l="1"/>
  <c r="K41" i="1" s="1"/>
  <c r="J48" i="1"/>
  <c r="K48" i="1" s="1"/>
  <c r="L22" i="1"/>
  <c r="L39" i="1"/>
  <c r="J45" i="1"/>
  <c r="K45" i="1" s="1"/>
  <c r="J42" i="1"/>
  <c r="K42" i="1" s="1"/>
  <c r="J39" i="1"/>
  <c r="K39" i="1" s="1"/>
  <c r="J46" i="1"/>
  <c r="K46" i="1" s="1"/>
  <c r="J44" i="1"/>
  <c r="K44" i="1" s="1"/>
  <c r="J51" i="1"/>
  <c r="K51" i="1" s="1"/>
  <c r="J40" i="1"/>
  <c r="K40" i="1" s="1"/>
  <c r="L23" i="1"/>
  <c r="L24" i="1"/>
  <c r="L2" i="1"/>
  <c r="L10" i="1"/>
  <c r="L28" i="1"/>
  <c r="L17" i="1"/>
  <c r="L9" i="1"/>
  <c r="L29" i="1"/>
  <c r="L18" i="1"/>
  <c r="L38" i="1"/>
  <c r="L27" i="1"/>
  <c r="L16" i="1"/>
  <c r="L8" i="1"/>
  <c r="L34" i="1"/>
  <c r="L26" i="1"/>
  <c r="L15" i="1"/>
  <c r="L7" i="1"/>
  <c r="L33" i="1"/>
  <c r="L25" i="1"/>
  <c r="L14" i="1"/>
  <c r="L6" i="1"/>
  <c r="L32" i="1"/>
  <c r="L21" i="1"/>
  <c r="L13" i="1"/>
  <c r="L5" i="1"/>
  <c r="L31" i="1"/>
  <c r="L20" i="1"/>
  <c r="L12" i="1"/>
  <c r="L4" i="1"/>
  <c r="L30" i="1"/>
  <c r="L19" i="1"/>
  <c r="L11" i="1"/>
  <c r="L3" i="1"/>
</calcChain>
</file>

<file path=xl/sharedStrings.xml><?xml version="1.0" encoding="utf-8"?>
<sst xmlns="http://schemas.openxmlformats.org/spreadsheetml/2006/main" count="25" uniqueCount="15">
  <si>
    <t>M1/M2</t>
  </si>
  <si>
    <t>n1</t>
  </si>
  <si>
    <t>n2</t>
  </si>
  <si>
    <t>b11</t>
  </si>
  <si>
    <t>a11</t>
  </si>
  <si>
    <t>a22</t>
  </si>
  <si>
    <t>a12,l</t>
  </si>
  <si>
    <t>a12,rapprox</t>
  </si>
  <si>
    <t>a12,ranalytic</t>
  </si>
  <si>
    <t>alpha</t>
  </si>
  <si>
    <t>q2*</t>
  </si>
  <si>
    <t>a0</t>
  </si>
  <si>
    <t>qopt</t>
  </si>
  <si>
    <t>n2/n1</t>
  </si>
  <si>
    <t>a12,r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</si>
</sst>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2" fontId="0" fillId="0" borderId="5" xfId="0" applyNumberFormat="1" applyBorder="1"/>
    <xf numFmtId="2" fontId="0" fillId="0" borderId="10" xfId="0" applyNumberFormat="1" applyBorder="1"/>
    <xf numFmtId="2" fontId="0" fillId="0" borderId="4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6" xfId="0" applyNumberFormat="1" applyBorder="1"/>
    <xf numFmtId="2" fontId="0" fillId="0" borderId="8" xfId="0" applyNumberFormat="1" applyBorder="1"/>
    <xf numFmtId="2" fontId="0" fillId="0" borderId="1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'2D'!$A$16:$A$21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24</c:v>
                </c:pt>
                <c:pt idx="5">
                  <c:v>30</c:v>
                </c:pt>
              </c:numCache>
            </c:numRef>
          </c:xVal>
          <c:yVal>
            <c:numRef>
              <c:f>'2D'!$I$16:$I$21</c:f>
              <c:numCache>
                <c:formatCode>General</c:formatCode>
                <c:ptCount val="6"/>
                <c:pt idx="0">
                  <c:v>43.4</c:v>
                </c:pt>
                <c:pt idx="1">
                  <c:v>33.4</c:v>
                </c:pt>
                <c:pt idx="2">
                  <c:v>26.8</c:v>
                </c:pt>
                <c:pt idx="3">
                  <c:v>21</c:v>
                </c:pt>
                <c:pt idx="4">
                  <c:v>19.600000000000001</c:v>
                </c:pt>
                <c:pt idx="5">
                  <c:v>18.100000000000001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01-9747-9FB5-5B299AF95CC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'2D'!$A$16:$A$21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24</c:v>
                </c:pt>
                <c:pt idx="5">
                  <c:v>30</c:v>
                </c:pt>
              </c:numCache>
            </c:numRef>
          </c:xVal>
          <c:yVal>
            <c:numRef>
              <c:f>'2D'!$K$16:$K$21</c:f>
              <c:numCache>
                <c:formatCode>0.00</c:formatCode>
                <c:ptCount val="6"/>
                <c:pt idx="0">
                  <c:v>125.68248038648993</c:v>
                </c:pt>
                <c:pt idx="1">
                  <c:v>95.166599571670474</c:v>
                </c:pt>
                <c:pt idx="2">
                  <c:v>75.67694465801587</c:v>
                </c:pt>
                <c:pt idx="3">
                  <c:v>58.50416815275122</c:v>
                </c:pt>
                <c:pt idx="4">
                  <c:v>54.539985132862633</c:v>
                </c:pt>
                <c:pt idx="5">
                  <c:v>50.012023285586821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01-9747-9FB5-5B299AF95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985695"/>
        <c:axId val="603957711"/>
      </c:scatterChart>
      <c:valAx>
        <c:axId val="60298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M1/M2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957711"/>
        <c:crosses val="autoZero"/>
        <c:crossBetween val="midCat"/>
      </c:valAx>
      <c:valAx>
        <c:axId val="60395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a12/a0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985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'2D'!$H$2:$H$9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xVal>
          <c:yVal>
            <c:numRef>
              <c:f>'2D'!$I$2:$I$9</c:f>
              <c:numCache>
                <c:formatCode>General</c:formatCode>
                <c:ptCount val="8"/>
                <c:pt idx="0">
                  <c:v>8.6</c:v>
                </c:pt>
                <c:pt idx="1">
                  <c:v>10.7</c:v>
                </c:pt>
                <c:pt idx="2">
                  <c:v>12.3</c:v>
                </c:pt>
                <c:pt idx="3">
                  <c:v>13.7</c:v>
                </c:pt>
                <c:pt idx="4">
                  <c:v>15</c:v>
                </c:pt>
                <c:pt idx="5">
                  <c:v>16.100000000000001</c:v>
                </c:pt>
                <c:pt idx="6">
                  <c:v>17.2</c:v>
                </c:pt>
                <c:pt idx="7">
                  <c:v>18.2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B4-CB4F-B5A0-28B9973F2F5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'2D'!$H$2:$H$9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xVal>
          <c:yVal>
            <c:numRef>
              <c:f>'2D'!$K$2:$K$9</c:f>
              <c:numCache>
                <c:formatCode>0.00</c:formatCode>
                <c:ptCount val="8"/>
                <c:pt idx="0">
                  <c:v>19.134655189365088</c:v>
                </c:pt>
                <c:pt idx="1">
                  <c:v>27.060488880132826</c:v>
                </c:pt>
                <c:pt idx="2">
                  <c:v>33.142194973291808</c:v>
                </c:pt>
                <c:pt idx="3">
                  <c:v>38.269310378730175</c:v>
                </c:pt>
                <c:pt idx="4">
                  <c:v>42.786389729439449</c:v>
                </c:pt>
                <c:pt idx="5">
                  <c:v>46.870141618042688</c:v>
                </c:pt>
                <c:pt idx="6">
                  <c:v>50.625539054031549</c:v>
                </c:pt>
                <c:pt idx="7">
                  <c:v>54.120977760265653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B4-CB4F-B5A0-28B9973F2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758208"/>
        <c:axId val="1910681279"/>
      </c:scatterChart>
      <c:valAx>
        <c:axId val="57175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a22/a0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681279"/>
        <c:crosses val="autoZero"/>
        <c:crossBetween val="midCat"/>
      </c:valAx>
      <c:valAx>
        <c:axId val="191068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a12/a0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1758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'2D'!$D$22:$D$38</c:f>
              <c:numCache>
                <c:formatCode>0.00</c:formatCode>
                <c:ptCount val="17"/>
                <c:pt idx="0">
                  <c:v>3.8461538461538464E-3</c:v>
                </c:pt>
                <c:pt idx="1">
                  <c:v>1.5384615384615385E-2</c:v>
                </c:pt>
                <c:pt idx="2">
                  <c:v>3.8461538461538464E-2</c:v>
                </c:pt>
                <c:pt idx="3">
                  <c:v>7.6923076923076927E-2</c:v>
                </c:pt>
                <c:pt idx="4">
                  <c:v>0.15384615384615385</c:v>
                </c:pt>
                <c:pt idx="5">
                  <c:v>0.23076923076923078</c:v>
                </c:pt>
                <c:pt idx="6">
                  <c:v>0.30769230769230771</c:v>
                </c:pt>
                <c:pt idx="7">
                  <c:v>0.38461538461538464</c:v>
                </c:pt>
                <c:pt idx="8">
                  <c:v>0.46153846153846156</c:v>
                </c:pt>
                <c:pt idx="9">
                  <c:v>0.53846153846153844</c:v>
                </c:pt>
                <c:pt idx="10">
                  <c:v>0.61538461538461542</c:v>
                </c:pt>
                <c:pt idx="11">
                  <c:v>0.69230769230769229</c:v>
                </c:pt>
                <c:pt idx="12">
                  <c:v>0.76923076923076927</c:v>
                </c:pt>
                <c:pt idx="13">
                  <c:v>1</c:v>
                </c:pt>
                <c:pt idx="14">
                  <c:v>1.1538461538461537</c:v>
                </c:pt>
                <c:pt idx="15">
                  <c:v>1.1538461538461537</c:v>
                </c:pt>
                <c:pt idx="16">
                  <c:v>1.5384615384615385</c:v>
                </c:pt>
              </c:numCache>
            </c:numRef>
          </c:xVal>
          <c:yVal>
            <c:numRef>
              <c:f>'2D'!$I$22:$I$38</c:f>
              <c:numCache>
                <c:formatCode>General</c:formatCode>
                <c:ptCount val="17"/>
                <c:pt idx="0">
                  <c:v>50.4</c:v>
                </c:pt>
                <c:pt idx="1">
                  <c:v>42.4</c:v>
                </c:pt>
                <c:pt idx="2">
                  <c:v>34.4</c:v>
                </c:pt>
                <c:pt idx="3">
                  <c:v>28.8</c:v>
                </c:pt>
                <c:pt idx="4">
                  <c:v>24.8</c:v>
                </c:pt>
                <c:pt idx="5">
                  <c:v>23.2</c:v>
                </c:pt>
                <c:pt idx="6">
                  <c:v>22.2</c:v>
                </c:pt>
                <c:pt idx="7">
                  <c:v>21.5</c:v>
                </c:pt>
                <c:pt idx="8">
                  <c:v>21</c:v>
                </c:pt>
                <c:pt idx="9">
                  <c:v>20.6</c:v>
                </c:pt>
                <c:pt idx="10">
                  <c:v>20.399999999999999</c:v>
                </c:pt>
                <c:pt idx="11">
                  <c:v>20.2</c:v>
                </c:pt>
                <c:pt idx="12">
                  <c:v>20</c:v>
                </c:pt>
                <c:pt idx="13">
                  <c:v>19.600000000000001</c:v>
                </c:pt>
                <c:pt idx="14">
                  <c:v>19.399999999999999</c:v>
                </c:pt>
                <c:pt idx="15">
                  <c:v>19.2</c:v>
                </c:pt>
                <c:pt idx="16">
                  <c:v>19.100000000000001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EB-6442-9A66-5A0ED3D0555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'2D'!$D$22:$D$38</c:f>
              <c:numCache>
                <c:formatCode>0.00</c:formatCode>
                <c:ptCount val="17"/>
                <c:pt idx="0">
                  <c:v>3.8461538461538464E-3</c:v>
                </c:pt>
                <c:pt idx="1">
                  <c:v>1.5384615384615385E-2</c:v>
                </c:pt>
                <c:pt idx="2">
                  <c:v>3.8461538461538464E-2</c:v>
                </c:pt>
                <c:pt idx="3">
                  <c:v>7.6923076923076927E-2</c:v>
                </c:pt>
                <c:pt idx="4">
                  <c:v>0.15384615384615385</c:v>
                </c:pt>
                <c:pt idx="5">
                  <c:v>0.23076923076923078</c:v>
                </c:pt>
                <c:pt idx="6">
                  <c:v>0.30769230769230771</c:v>
                </c:pt>
                <c:pt idx="7">
                  <c:v>0.38461538461538464</c:v>
                </c:pt>
                <c:pt idx="8">
                  <c:v>0.46153846153846156</c:v>
                </c:pt>
                <c:pt idx="9">
                  <c:v>0.53846153846153844</c:v>
                </c:pt>
                <c:pt idx="10">
                  <c:v>0.61538461538461542</c:v>
                </c:pt>
                <c:pt idx="11">
                  <c:v>0.69230769230769229</c:v>
                </c:pt>
                <c:pt idx="12">
                  <c:v>0.76923076923076927</c:v>
                </c:pt>
                <c:pt idx="13">
                  <c:v>1</c:v>
                </c:pt>
                <c:pt idx="14">
                  <c:v>1.1538461538461537</c:v>
                </c:pt>
                <c:pt idx="15">
                  <c:v>1.1538461538461537</c:v>
                </c:pt>
                <c:pt idx="16">
                  <c:v>1.5384615384615385</c:v>
                </c:pt>
              </c:numCache>
            </c:numRef>
          </c:xVal>
          <c:yVal>
            <c:numRef>
              <c:f>'2D'!$K$22:$K$38</c:f>
              <c:numCache>
                <c:formatCode>0.00</c:formatCode>
                <c:ptCount val="17"/>
                <c:pt idx="0">
                  <c:v>54.539985132862633</c:v>
                </c:pt>
                <c:pt idx="1">
                  <c:v>54.539985132862633</c:v>
                </c:pt>
                <c:pt idx="2">
                  <c:v>54.539985132862633</c:v>
                </c:pt>
                <c:pt idx="3">
                  <c:v>54.539985132862633</c:v>
                </c:pt>
                <c:pt idx="4">
                  <c:v>54.539985132862633</c:v>
                </c:pt>
                <c:pt idx="5">
                  <c:v>54.539985132862633</c:v>
                </c:pt>
                <c:pt idx="6">
                  <c:v>54.539985132862633</c:v>
                </c:pt>
                <c:pt idx="7">
                  <c:v>54.539985132862633</c:v>
                </c:pt>
                <c:pt idx="8">
                  <c:v>54.539985132862633</c:v>
                </c:pt>
                <c:pt idx="9">
                  <c:v>54.539985132862633</c:v>
                </c:pt>
                <c:pt idx="10">
                  <c:v>54.539985132862633</c:v>
                </c:pt>
                <c:pt idx="11">
                  <c:v>54.539985132862633</c:v>
                </c:pt>
                <c:pt idx="12">
                  <c:v>54.539985132862633</c:v>
                </c:pt>
                <c:pt idx="13">
                  <c:v>54.539985132862633</c:v>
                </c:pt>
                <c:pt idx="14">
                  <c:v>54.539985132862633</c:v>
                </c:pt>
                <c:pt idx="15">
                  <c:v>54.539985132862633</c:v>
                </c:pt>
                <c:pt idx="16">
                  <c:v>54.539985132862633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EB-6442-9A66-5A0ED3D05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8090559"/>
        <c:axId val="731837471"/>
      </c:scatterChart>
      <c:valAx>
        <c:axId val="191809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n2/n1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837471"/>
        <c:crosses val="autoZero"/>
        <c:crossBetween val="midCat"/>
      </c:valAx>
      <c:valAx>
        <c:axId val="73183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a12/a0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090559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'2D'!$F$10:$F$15</c:f>
              <c:numCache>
                <c:formatCode>General</c:formatCode>
                <c:ptCount val="6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105</c:v>
                </c:pt>
                <c:pt idx="4">
                  <c:v>115</c:v>
                </c:pt>
                <c:pt idx="5">
                  <c:v>125</c:v>
                </c:pt>
              </c:numCache>
            </c:numRef>
          </c:xVal>
          <c:yVal>
            <c:numRef>
              <c:f>'2D'!$I$10:$I$15</c:f>
              <c:numCache>
                <c:formatCode>General</c:formatCode>
                <c:ptCount val="6"/>
                <c:pt idx="0">
                  <c:v>22.5</c:v>
                </c:pt>
                <c:pt idx="1">
                  <c:v>26.1</c:v>
                </c:pt>
                <c:pt idx="2">
                  <c:v>29.2</c:v>
                </c:pt>
                <c:pt idx="3">
                  <c:v>32</c:v>
                </c:pt>
                <c:pt idx="4">
                  <c:v>34.5</c:v>
                </c:pt>
                <c:pt idx="5">
                  <c:v>36.9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C-EB42-941D-130C972BF2C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'2D'!$F$10:$F$15</c:f>
              <c:numCache>
                <c:formatCode>General</c:formatCode>
                <c:ptCount val="6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105</c:v>
                </c:pt>
                <c:pt idx="4">
                  <c:v>115</c:v>
                </c:pt>
                <c:pt idx="5">
                  <c:v>125</c:v>
                </c:pt>
              </c:numCache>
            </c:numRef>
          </c:xVal>
          <c:yVal>
            <c:numRef>
              <c:f>'2D'!$K$10:$K$15</c:f>
              <c:numCache>
                <c:formatCode>0.00</c:formatCode>
                <c:ptCount val="6"/>
                <c:pt idx="0">
                  <c:v>55.505369550577669</c:v>
                </c:pt>
                <c:pt idx="1">
                  <c:v>56.856062686095484</c:v>
                </c:pt>
                <c:pt idx="2">
                  <c:v>58.175404419601961</c:v>
                </c:pt>
                <c:pt idx="3">
                  <c:v>59.465481538479679</c:v>
                </c:pt>
                <c:pt idx="4">
                  <c:v>60.728159117680256</c:v>
                </c:pt>
                <c:pt idx="5">
                  <c:v>61.965112160322263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4C-EB42-941D-130C972BF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152015"/>
        <c:axId val="1924823231"/>
      </c:scatterChart>
      <c:valAx>
        <c:axId val="526152015"/>
        <c:scaling>
          <c:orientation val="minMax"/>
          <c:min val="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a11/a0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823231"/>
        <c:crosses val="autoZero"/>
        <c:crossBetween val="midCat"/>
      </c:valAx>
      <c:valAx>
        <c:axId val="192482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a12/a0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52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'2D'!$D$39:$D$51</c:f>
              <c:numCache>
                <c:formatCode>0.00</c:formatCode>
                <c:ptCount val="13"/>
                <c:pt idx="0">
                  <c:v>3.3333333333333335E-3</c:v>
                </c:pt>
                <c:pt idx="1">
                  <c:v>6.6666666666666671E-3</c:v>
                </c:pt>
                <c:pt idx="2">
                  <c:v>1.6666666666666666E-2</c:v>
                </c:pt>
                <c:pt idx="3">
                  <c:v>8.3333333333333329E-2</c:v>
                </c:pt>
                <c:pt idx="4">
                  <c:v>0.16666666666666666</c:v>
                </c:pt>
                <c:pt idx="5">
                  <c:v>0.25</c:v>
                </c:pt>
                <c:pt idx="6">
                  <c:v>0.33333333333333331</c:v>
                </c:pt>
                <c:pt idx="7">
                  <c:v>0.5</c:v>
                </c:pt>
                <c:pt idx="8">
                  <c:v>0.66666666666666663</c:v>
                </c:pt>
                <c:pt idx="9">
                  <c:v>0.83333333333333337</c:v>
                </c:pt>
                <c:pt idx="10">
                  <c:v>1</c:v>
                </c:pt>
                <c:pt idx="11">
                  <c:v>1.1666666666666667</c:v>
                </c:pt>
                <c:pt idx="12">
                  <c:v>1.3333333333333333</c:v>
                </c:pt>
              </c:numCache>
            </c:numRef>
          </c:xVal>
          <c:yVal>
            <c:numRef>
              <c:f>'2D'!$I$39:$I$51</c:f>
              <c:numCache>
                <c:formatCode>General</c:formatCode>
                <c:ptCount val="13"/>
                <c:pt idx="0">
                  <c:v>48.2</c:v>
                </c:pt>
                <c:pt idx="1">
                  <c:v>43.1</c:v>
                </c:pt>
                <c:pt idx="2">
                  <c:v>40</c:v>
                </c:pt>
                <c:pt idx="3">
                  <c:v>22.4</c:v>
                </c:pt>
                <c:pt idx="4">
                  <c:v>19.7</c:v>
                </c:pt>
                <c:pt idx="5">
                  <c:v>18.600000000000001</c:v>
                </c:pt>
                <c:pt idx="6">
                  <c:v>18</c:v>
                </c:pt>
                <c:pt idx="7">
                  <c:v>17.3</c:v>
                </c:pt>
                <c:pt idx="8">
                  <c:v>16.899999999999999</c:v>
                </c:pt>
                <c:pt idx="9">
                  <c:v>16.600000000000001</c:v>
                </c:pt>
                <c:pt idx="10">
                  <c:v>16.5</c:v>
                </c:pt>
                <c:pt idx="11">
                  <c:v>16.399999999999999</c:v>
                </c:pt>
                <c:pt idx="12">
                  <c:v>16.3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D1-3F43-973F-EFDA4786A8F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'2D'!$D$39:$D$51</c:f>
              <c:numCache>
                <c:formatCode>0.00</c:formatCode>
                <c:ptCount val="13"/>
                <c:pt idx="0">
                  <c:v>3.3333333333333335E-3</c:v>
                </c:pt>
                <c:pt idx="1">
                  <c:v>6.6666666666666671E-3</c:v>
                </c:pt>
                <c:pt idx="2">
                  <c:v>1.6666666666666666E-2</c:v>
                </c:pt>
                <c:pt idx="3">
                  <c:v>8.3333333333333329E-2</c:v>
                </c:pt>
                <c:pt idx="4">
                  <c:v>0.16666666666666666</c:v>
                </c:pt>
                <c:pt idx="5">
                  <c:v>0.25</c:v>
                </c:pt>
                <c:pt idx="6">
                  <c:v>0.33333333333333331</c:v>
                </c:pt>
                <c:pt idx="7">
                  <c:v>0.5</c:v>
                </c:pt>
                <c:pt idx="8">
                  <c:v>0.66666666666666663</c:v>
                </c:pt>
                <c:pt idx="9">
                  <c:v>0.83333333333333337</c:v>
                </c:pt>
                <c:pt idx="10">
                  <c:v>1</c:v>
                </c:pt>
                <c:pt idx="11">
                  <c:v>1.1666666666666667</c:v>
                </c:pt>
                <c:pt idx="12">
                  <c:v>1.3333333333333333</c:v>
                </c:pt>
              </c:numCache>
            </c:numRef>
          </c:xVal>
          <c:yVal>
            <c:numRef>
              <c:f>'2D'!$K$39:$K$51</c:f>
              <c:numCache>
                <c:formatCode>0.00</c:formatCode>
                <c:ptCount val="13"/>
                <c:pt idx="0">
                  <c:v>54.539985132862633</c:v>
                </c:pt>
                <c:pt idx="1">
                  <c:v>54.539985132862633</c:v>
                </c:pt>
                <c:pt idx="2">
                  <c:v>54.539985132862633</c:v>
                </c:pt>
                <c:pt idx="3">
                  <c:v>54.539985132862633</c:v>
                </c:pt>
                <c:pt idx="4">
                  <c:v>54.539985132862633</c:v>
                </c:pt>
                <c:pt idx="5">
                  <c:v>54.539985132862633</c:v>
                </c:pt>
                <c:pt idx="6">
                  <c:v>54.539985132862633</c:v>
                </c:pt>
                <c:pt idx="7">
                  <c:v>54.539985132862633</c:v>
                </c:pt>
                <c:pt idx="8">
                  <c:v>54.539985132862633</c:v>
                </c:pt>
                <c:pt idx="9">
                  <c:v>54.539985132862633</c:v>
                </c:pt>
                <c:pt idx="10">
                  <c:v>54.539985132862633</c:v>
                </c:pt>
                <c:pt idx="11">
                  <c:v>54.539985132862633</c:v>
                </c:pt>
                <c:pt idx="12">
                  <c:v>54.539985132862633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D1-3F43-973F-EFDA4786A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4685807"/>
        <c:axId val="2042892111"/>
      </c:scatterChart>
      <c:valAx>
        <c:axId val="1694685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n2/n1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892111"/>
        <c:crosses val="autoZero"/>
        <c:crossBetween val="midCat"/>
      </c:valAx>
      <c:valAx>
        <c:axId val="204289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a12/a0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685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'2D'!$L$1</c:f>
              <c:strCache>
                <c:ptCount val="1"/>
                <c:pt idx="0">
                  <c:v>q2*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'2D'!$H$2:$H$9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xVal>
          <c:yVal>
            <c:numRef>
              <c:f>'2D'!$L$2:$L$9</c:f>
              <c:numCache>
                <c:formatCode>0.00</c:formatCode>
                <c:ptCount val="8"/>
                <c:pt idx="0">
                  <c:v>3.3265536201983141</c:v>
                </c:pt>
                <c:pt idx="1">
                  <c:v>4.7044572456457736</c:v>
                </c:pt>
                <c:pt idx="2">
                  <c:v>5.761759884285663</c:v>
                </c:pt>
                <c:pt idx="3">
                  <c:v>6.6531072403966283</c:v>
                </c:pt>
                <c:pt idx="4">
                  <c:v>7.4384000255614477</c:v>
                </c:pt>
                <c:pt idx="5">
                  <c:v>8.1483589714940194</c:v>
                </c:pt>
                <c:pt idx="6">
                  <c:v>8.8012336019663504</c:v>
                </c:pt>
                <c:pt idx="7">
                  <c:v>9.4089144912915472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A0-A24F-8C36-BF46A7A65DF8}"/>
            </c:ext>
          </c:extLst>
        </c:ser>
        <c:ser>
          <c:idx val="1"/>
          <c:order val="1"/>
          <c:tx>
            <c:strRef>
              <c:f>'2D'!$M$1</c:f>
              <c:strCache>
                <c:ptCount val="1"/>
                <c:pt idx="0">
                  <c:v>qopt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'2D'!$H$2:$H$9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xVal>
          <c:yVal>
            <c:numRef>
              <c:f>'2D'!$M$2:$M$9</c:f>
              <c:numCache>
                <c:formatCode>0.00</c:formatCode>
                <c:ptCount val="8"/>
                <c:pt idx="0">
                  <c:v>2.9284400000000002</c:v>
                </c:pt>
                <c:pt idx="1">
                  <c:v>3.298</c:v>
                </c:pt>
                <c:pt idx="2">
                  <c:v>3.4834000000000001</c:v>
                </c:pt>
                <c:pt idx="3">
                  <c:v>3.6006999999999998</c:v>
                </c:pt>
                <c:pt idx="4">
                  <c:v>3.68323</c:v>
                </c:pt>
                <c:pt idx="5">
                  <c:v>3.7450700000000001</c:v>
                </c:pt>
                <c:pt idx="6">
                  <c:v>3.7934000000000001</c:v>
                </c:pt>
                <c:pt idx="7">
                  <c:v>3.8323499999999999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A0-A24F-8C36-BF46A7A65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364063"/>
        <c:axId val="1965756767"/>
      </c:scatterChart>
      <c:valAx>
        <c:axId val="587364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5756767"/>
        <c:crosses val="autoZero"/>
        <c:crossBetween val="midCat"/>
      </c:valAx>
      <c:valAx>
        <c:axId val="196575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364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q2*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'2D'!$F$10:$F$15</c:f>
              <c:numCache>
                <c:formatCode>General</c:formatCode>
                <c:ptCount val="6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105</c:v>
                </c:pt>
                <c:pt idx="4">
                  <c:v>115</c:v>
                </c:pt>
                <c:pt idx="5">
                  <c:v>125</c:v>
                </c:pt>
              </c:numCache>
            </c:numRef>
          </c:xVal>
          <c:yVal>
            <c:numRef>
              <c:f>'2D'!$L$10:$L$15</c:f>
              <c:numCache>
                <c:formatCode>0.00</c:formatCode>
                <c:ptCount val="6"/>
                <c:pt idx="0">
                  <c:v>9.4089144912915472</c:v>
                </c:pt>
                <c:pt idx="1">
                  <c:v>9.4089144912915472</c:v>
                </c:pt>
                <c:pt idx="2">
                  <c:v>9.4089144912915472</c:v>
                </c:pt>
                <c:pt idx="3">
                  <c:v>9.4089144912915472</c:v>
                </c:pt>
                <c:pt idx="4">
                  <c:v>9.4089144912915472</c:v>
                </c:pt>
                <c:pt idx="5">
                  <c:v>9.4089144912915472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4D-E447-8B4D-76970C775303}"/>
            </c:ext>
          </c:extLst>
        </c:ser>
        <c:ser>
          <c:idx val="1"/>
          <c:order val="1"/>
          <c:tx>
            <c:v>qopt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'2D'!$F$10:$F$15</c:f>
              <c:numCache>
                <c:formatCode>General</c:formatCode>
                <c:ptCount val="6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105</c:v>
                </c:pt>
                <c:pt idx="4">
                  <c:v>115</c:v>
                </c:pt>
                <c:pt idx="5">
                  <c:v>125</c:v>
                </c:pt>
              </c:numCache>
            </c:numRef>
          </c:xVal>
          <c:yVal>
            <c:numRef>
              <c:f>'2D'!$M$10:$M$15</c:f>
              <c:numCache>
                <c:formatCode>0.00</c:formatCode>
                <c:ptCount val="6"/>
                <c:pt idx="0">
                  <c:v>3.6709999999999998</c:v>
                </c:pt>
                <c:pt idx="1">
                  <c:v>3.5322100000000001</c:v>
                </c:pt>
                <c:pt idx="2">
                  <c:v>3.41126</c:v>
                </c:pt>
                <c:pt idx="3">
                  <c:v>3.3046199999999999</c:v>
                </c:pt>
                <c:pt idx="4">
                  <c:v>3.2096499999999999</c:v>
                </c:pt>
                <c:pt idx="5">
                  <c:v>3.12432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4D-E447-8B4D-76970C775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875455"/>
        <c:axId val="1944308815"/>
      </c:scatterChart>
      <c:valAx>
        <c:axId val="1762875455"/>
        <c:scaling>
          <c:orientation val="minMax"/>
          <c:min val="6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308815"/>
        <c:crosses val="autoZero"/>
        <c:crossBetween val="midCat"/>
      </c:valAx>
      <c:valAx>
        <c:axId val="194430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8754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'2D'!$A$16:$A$21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24</c:v>
                </c:pt>
                <c:pt idx="5">
                  <c:v>30</c:v>
                </c:pt>
              </c:numCache>
            </c:numRef>
          </c:xVal>
          <c:yVal>
            <c:numRef>
              <c:f>'2D'!$L$16:$L$21</c:f>
              <c:numCache>
                <c:formatCode>0.00</c:formatCode>
                <c:ptCount val="6"/>
                <c:pt idx="0">
                  <c:v>13.997997991841659</c:v>
                </c:pt>
                <c:pt idx="1">
                  <c:v>11.447078902340801</c:v>
                </c:pt>
                <c:pt idx="2">
                  <c:v>10.497017636329405</c:v>
                </c:pt>
                <c:pt idx="3">
                  <c:v>9.6258076141048043</c:v>
                </c:pt>
                <c:pt idx="4">
                  <c:v>9.4089144912915472</c:v>
                </c:pt>
                <c:pt idx="5">
                  <c:v>9.1500985168579803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44-8349-8780-A8C208F6D58B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'2D'!$A$16:$A$21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24</c:v>
                </c:pt>
                <c:pt idx="5">
                  <c:v>30</c:v>
                </c:pt>
              </c:numCache>
            </c:numRef>
          </c:xVal>
          <c:yVal>
            <c:numRef>
              <c:f>'2D'!$M$16:$M$21</c:f>
              <c:numCache>
                <c:formatCode>0.00</c:formatCode>
                <c:ptCount val="6"/>
                <c:pt idx="0">
                  <c:v>3.7812299999999999</c:v>
                </c:pt>
                <c:pt idx="1">
                  <c:v>3.7812299999999999</c:v>
                </c:pt>
                <c:pt idx="2">
                  <c:v>3.7812299999999999</c:v>
                </c:pt>
                <c:pt idx="3">
                  <c:v>3.7812299999999999</c:v>
                </c:pt>
                <c:pt idx="4">
                  <c:v>3.7812299999999999</c:v>
                </c:pt>
                <c:pt idx="5">
                  <c:v>3.7812299999999999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44-8349-8780-A8C208F6D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804399"/>
        <c:axId val="1837842623"/>
      </c:scatterChart>
      <c:valAx>
        <c:axId val="1847804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842623"/>
        <c:crosses val="autoZero"/>
        <c:crossBetween val="midCat"/>
      </c:valAx>
      <c:valAx>
        <c:axId val="183784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78043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'2D'!$D$22:$D$38</c:f>
              <c:numCache>
                <c:formatCode>0.00</c:formatCode>
                <c:ptCount val="17"/>
                <c:pt idx="0">
                  <c:v>3.8461538461538464E-3</c:v>
                </c:pt>
                <c:pt idx="1">
                  <c:v>1.5384615384615385E-2</c:v>
                </c:pt>
                <c:pt idx="2">
                  <c:v>3.8461538461538464E-2</c:v>
                </c:pt>
                <c:pt idx="3">
                  <c:v>7.6923076923076927E-2</c:v>
                </c:pt>
                <c:pt idx="4">
                  <c:v>0.15384615384615385</c:v>
                </c:pt>
                <c:pt idx="5">
                  <c:v>0.23076923076923078</c:v>
                </c:pt>
                <c:pt idx="6">
                  <c:v>0.30769230769230771</c:v>
                </c:pt>
                <c:pt idx="7">
                  <c:v>0.38461538461538464</c:v>
                </c:pt>
                <c:pt idx="8">
                  <c:v>0.46153846153846156</c:v>
                </c:pt>
                <c:pt idx="9">
                  <c:v>0.53846153846153844</c:v>
                </c:pt>
                <c:pt idx="10">
                  <c:v>0.61538461538461542</c:v>
                </c:pt>
                <c:pt idx="11">
                  <c:v>0.69230769230769229</c:v>
                </c:pt>
                <c:pt idx="12">
                  <c:v>0.76923076923076927</c:v>
                </c:pt>
                <c:pt idx="13">
                  <c:v>1</c:v>
                </c:pt>
                <c:pt idx="14">
                  <c:v>1.1538461538461537</c:v>
                </c:pt>
                <c:pt idx="15">
                  <c:v>1.1538461538461537</c:v>
                </c:pt>
                <c:pt idx="16">
                  <c:v>1.5384615384615385</c:v>
                </c:pt>
              </c:numCache>
            </c:numRef>
          </c:xVal>
          <c:yVal>
            <c:numRef>
              <c:f>'2D'!$L$22:$L$38</c:f>
              <c:numCache>
                <c:formatCode>0.00</c:formatCode>
                <c:ptCount val="17"/>
                <c:pt idx="0">
                  <c:v>0.58351610584995228</c:v>
                </c:pt>
                <c:pt idx="1">
                  <c:v>1.1670322116999046</c:v>
                </c:pt>
                <c:pt idx="2">
                  <c:v>1.8452399458777513</c:v>
                </c:pt>
                <c:pt idx="3">
                  <c:v>2.6095633572929118</c:v>
                </c:pt>
                <c:pt idx="4">
                  <c:v>3.6904798917555026</c:v>
                </c:pt>
                <c:pt idx="5">
                  <c:v>4.5198963204013385</c:v>
                </c:pt>
                <c:pt idx="6">
                  <c:v>5.2191267145858236</c:v>
                </c:pt>
                <c:pt idx="7">
                  <c:v>5.8351610584995228</c:v>
                </c:pt>
                <c:pt idx="8">
                  <c:v>6.3920986768318206</c:v>
                </c:pt>
                <c:pt idx="9">
                  <c:v>6.9042556738638359</c:v>
                </c:pt>
                <c:pt idx="10">
                  <c:v>7.3809597835110052</c:v>
                </c:pt>
                <c:pt idx="11">
                  <c:v>7.8286900718787358</c:v>
                </c:pt>
                <c:pt idx="12">
                  <c:v>8.2521639075613695</c:v>
                </c:pt>
                <c:pt idx="13">
                  <c:v>9.4089144912915472</c:v>
                </c:pt>
                <c:pt idx="14">
                  <c:v>10.106795423668562</c:v>
                </c:pt>
                <c:pt idx="15">
                  <c:v>10.106795423668562</c:v>
                </c:pt>
                <c:pt idx="16">
                  <c:v>11.670322116999046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4C-D948-A621-21B7CEB2E9A3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'2D'!$D$22:$D$38</c:f>
              <c:numCache>
                <c:formatCode>0.00</c:formatCode>
                <c:ptCount val="17"/>
                <c:pt idx="0">
                  <c:v>3.8461538461538464E-3</c:v>
                </c:pt>
                <c:pt idx="1">
                  <c:v>1.5384615384615385E-2</c:v>
                </c:pt>
                <c:pt idx="2">
                  <c:v>3.8461538461538464E-2</c:v>
                </c:pt>
                <c:pt idx="3">
                  <c:v>7.6923076923076927E-2</c:v>
                </c:pt>
                <c:pt idx="4">
                  <c:v>0.15384615384615385</c:v>
                </c:pt>
                <c:pt idx="5">
                  <c:v>0.23076923076923078</c:v>
                </c:pt>
                <c:pt idx="6">
                  <c:v>0.30769230769230771</c:v>
                </c:pt>
                <c:pt idx="7">
                  <c:v>0.38461538461538464</c:v>
                </c:pt>
                <c:pt idx="8">
                  <c:v>0.46153846153846156</c:v>
                </c:pt>
                <c:pt idx="9">
                  <c:v>0.53846153846153844</c:v>
                </c:pt>
                <c:pt idx="10">
                  <c:v>0.61538461538461542</c:v>
                </c:pt>
                <c:pt idx="11">
                  <c:v>0.69230769230769229</c:v>
                </c:pt>
                <c:pt idx="12">
                  <c:v>0.76923076923076927</c:v>
                </c:pt>
                <c:pt idx="13">
                  <c:v>1</c:v>
                </c:pt>
                <c:pt idx="14">
                  <c:v>1.1538461538461537</c:v>
                </c:pt>
                <c:pt idx="15">
                  <c:v>1.1538461538461537</c:v>
                </c:pt>
                <c:pt idx="16">
                  <c:v>1.5384615384615385</c:v>
                </c:pt>
              </c:numCache>
            </c:numRef>
          </c:xVal>
          <c:yVal>
            <c:numRef>
              <c:f>'2D'!$M$22:$M$38</c:f>
              <c:numCache>
                <c:formatCode>0.00</c:formatCode>
                <c:ptCount val="17"/>
                <c:pt idx="0">
                  <c:v>0.21986</c:v>
                </c:pt>
                <c:pt idx="1">
                  <c:v>0.97390299999999996</c:v>
                </c:pt>
                <c:pt idx="2">
                  <c:v>1.9207799999999999</c:v>
                </c:pt>
                <c:pt idx="3">
                  <c:v>2.4744999999999999</c:v>
                </c:pt>
                <c:pt idx="4">
                  <c:v>2.9238599999999999</c:v>
                </c:pt>
                <c:pt idx="5">
                  <c:v>3.1531099999999999</c:v>
                </c:pt>
                <c:pt idx="6">
                  <c:v>3.3018200000000002</c:v>
                </c:pt>
                <c:pt idx="7">
                  <c:v>3.4089900000000002</c:v>
                </c:pt>
                <c:pt idx="8">
                  <c:v>3.4910700000000001</c:v>
                </c:pt>
                <c:pt idx="9">
                  <c:v>3.5564900000000002</c:v>
                </c:pt>
                <c:pt idx="10">
                  <c:v>3.61015</c:v>
                </c:pt>
                <c:pt idx="11">
                  <c:v>3.6551399999999998</c:v>
                </c:pt>
                <c:pt idx="12">
                  <c:v>3.6934999999999998</c:v>
                </c:pt>
                <c:pt idx="13">
                  <c:v>3.7812299999999999</c:v>
                </c:pt>
                <c:pt idx="14">
                  <c:v>3.82443</c:v>
                </c:pt>
                <c:pt idx="15">
                  <c:v>3.85955</c:v>
                </c:pt>
                <c:pt idx="16">
                  <c:v>3.9015399999999998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4C-D948-A621-21B7CEB2E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7375743"/>
        <c:axId val="2027482319"/>
      </c:scatterChart>
      <c:valAx>
        <c:axId val="2027375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482319"/>
        <c:crosses val="autoZero"/>
        <c:crossBetween val="midCat"/>
      </c:valAx>
      <c:valAx>
        <c:axId val="202748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7375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'2D'!$D$39:$D$51</c:f>
              <c:numCache>
                <c:formatCode>0.00</c:formatCode>
                <c:ptCount val="13"/>
                <c:pt idx="0">
                  <c:v>3.3333333333333335E-3</c:v>
                </c:pt>
                <c:pt idx="1">
                  <c:v>6.6666666666666671E-3</c:v>
                </c:pt>
                <c:pt idx="2">
                  <c:v>1.6666666666666666E-2</c:v>
                </c:pt>
                <c:pt idx="3">
                  <c:v>8.3333333333333329E-2</c:v>
                </c:pt>
                <c:pt idx="4">
                  <c:v>0.16666666666666666</c:v>
                </c:pt>
                <c:pt idx="5">
                  <c:v>0.25</c:v>
                </c:pt>
                <c:pt idx="6">
                  <c:v>0.33333333333333331</c:v>
                </c:pt>
                <c:pt idx="7">
                  <c:v>0.5</c:v>
                </c:pt>
                <c:pt idx="8">
                  <c:v>0.66666666666666663</c:v>
                </c:pt>
                <c:pt idx="9">
                  <c:v>0.83333333333333337</c:v>
                </c:pt>
                <c:pt idx="10">
                  <c:v>1</c:v>
                </c:pt>
                <c:pt idx="11">
                  <c:v>1.1666666666666667</c:v>
                </c:pt>
                <c:pt idx="12">
                  <c:v>1.3333333333333333</c:v>
                </c:pt>
              </c:numCache>
            </c:numRef>
          </c:xVal>
          <c:yVal>
            <c:numRef>
              <c:f>'2D'!$L$39:$L$51</c:f>
              <c:numCache>
                <c:formatCode>0.00</c:formatCode>
                <c:ptCount val="13"/>
                <c:pt idx="0">
                  <c:v>0.82521639075613695</c:v>
                </c:pt>
                <c:pt idx="1">
                  <c:v>1.1670322116999046</c:v>
                </c:pt>
                <c:pt idx="2">
                  <c:v>1.8452399458777513</c:v>
                </c:pt>
                <c:pt idx="3">
                  <c:v>4.1260819537806848</c:v>
                </c:pt>
                <c:pt idx="4">
                  <c:v>5.8351610584995228</c:v>
                </c:pt>
                <c:pt idx="5">
                  <c:v>7.1465835801412059</c:v>
                </c:pt>
                <c:pt idx="6">
                  <c:v>8.2521639075613695</c:v>
                </c:pt>
                <c:pt idx="7">
                  <c:v>10.106795423668562</c:v>
                </c:pt>
                <c:pt idx="8">
                  <c:v>11.670322116999046</c:v>
                </c:pt>
                <c:pt idx="9">
                  <c:v>13.047816786464558</c:v>
                </c:pt>
                <c:pt idx="10">
                  <c:v>14.293167160282412</c:v>
                </c:pt>
                <c:pt idx="11">
                  <c:v>15.43838502079816</c:v>
                </c:pt>
                <c:pt idx="12">
                  <c:v>16.504327815122739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99-024D-8574-52FF4CED6133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'2D'!$D$39:$D$51</c:f>
              <c:numCache>
                <c:formatCode>0.00</c:formatCode>
                <c:ptCount val="13"/>
                <c:pt idx="0">
                  <c:v>3.3333333333333335E-3</c:v>
                </c:pt>
                <c:pt idx="1">
                  <c:v>6.6666666666666671E-3</c:v>
                </c:pt>
                <c:pt idx="2">
                  <c:v>1.6666666666666666E-2</c:v>
                </c:pt>
                <c:pt idx="3">
                  <c:v>8.3333333333333329E-2</c:v>
                </c:pt>
                <c:pt idx="4">
                  <c:v>0.16666666666666666</c:v>
                </c:pt>
                <c:pt idx="5">
                  <c:v>0.25</c:v>
                </c:pt>
                <c:pt idx="6">
                  <c:v>0.33333333333333331</c:v>
                </c:pt>
                <c:pt idx="7">
                  <c:v>0.5</c:v>
                </c:pt>
                <c:pt idx="8">
                  <c:v>0.66666666666666663</c:v>
                </c:pt>
                <c:pt idx="9">
                  <c:v>0.83333333333333337</c:v>
                </c:pt>
                <c:pt idx="10">
                  <c:v>1</c:v>
                </c:pt>
                <c:pt idx="11">
                  <c:v>1.1666666666666667</c:v>
                </c:pt>
                <c:pt idx="12">
                  <c:v>1.3333333333333333</c:v>
                </c:pt>
              </c:numCache>
            </c:numRef>
          </c:xVal>
          <c:yVal>
            <c:numRef>
              <c:f>'2D'!$M$39:$M$51</c:f>
              <c:numCache>
                <c:formatCode>0.00</c:formatCode>
                <c:ptCount val="13"/>
                <c:pt idx="0">
                  <c:v>0.46279100000000001</c:v>
                </c:pt>
                <c:pt idx="1">
                  <c:v>0.99520799999999998</c:v>
                </c:pt>
                <c:pt idx="2">
                  <c:v>2.1072700000000002</c:v>
                </c:pt>
                <c:pt idx="3">
                  <c:v>3.5361600000000002</c:v>
                </c:pt>
                <c:pt idx="4">
                  <c:v>4.0156200000000002</c:v>
                </c:pt>
                <c:pt idx="5">
                  <c:v>4.2643399999999998</c:v>
                </c:pt>
                <c:pt idx="6">
                  <c:v>4.4246499999999997</c:v>
                </c:pt>
                <c:pt idx="7">
                  <c:v>4.6253900000000003</c:v>
                </c:pt>
                <c:pt idx="8">
                  <c:v>4.7488299999999999</c:v>
                </c:pt>
                <c:pt idx="9">
                  <c:v>4.8334799999999998</c:v>
                </c:pt>
                <c:pt idx="10">
                  <c:v>4.8955099999999998</c:v>
                </c:pt>
                <c:pt idx="11">
                  <c:v>4.9430800000000001</c:v>
                </c:pt>
                <c:pt idx="12">
                  <c:v>4.9807800000000002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99-024D-8574-52FF4CED6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289503"/>
        <c:axId val="2035576143"/>
      </c:scatterChart>
      <c:valAx>
        <c:axId val="1957289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576143"/>
        <c:crosses val="autoZero"/>
        <c:crossBetween val="midCat"/>
      </c:valAx>
      <c:valAx>
        <c:axId val="203557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289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'1D'!$I$1</c:f>
              <c:strCache>
                <c:ptCount val="1"/>
                <c:pt idx="0">
                  <c:v>a12,l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'1D'!$H$2:$H$9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xVal>
          <c:yVal>
            <c:numRef>
              <c:f>'1D'!$I$2:$I$9</c:f>
              <c:numCache>
                <c:formatCode>General</c:formatCode>
                <c:ptCount val="8"/>
                <c:pt idx="0">
                  <c:v>12.6</c:v>
                </c:pt>
                <c:pt idx="1">
                  <c:v>15.1</c:v>
                </c:pt>
                <c:pt idx="2">
                  <c:v>16.899999999999999</c:v>
                </c:pt>
                <c:pt idx="3">
                  <c:v>18.399999999999999</c:v>
                </c:pt>
                <c:pt idx="4">
                  <c:v>19.7</c:v>
                </c:pt>
                <c:pt idx="5">
                  <c:v>20.9</c:v>
                </c:pt>
                <c:pt idx="6">
                  <c:v>22.1</c:v>
                </c:pt>
                <c:pt idx="7">
                  <c:v>23.1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90-C84D-A62D-BF847964BAFD}"/>
            </c:ext>
          </c:extLst>
        </c:ser>
        <c:ser>
          <c:idx val="1"/>
          <c:order val="1"/>
          <c:tx>
            <c:strRef>
              <c:f>'1D'!$J$1</c:f>
              <c:strCache>
                <c:ptCount val="1"/>
                <c:pt idx="0">
                  <c:v>a12,r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'1D'!$H$2:$H$9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xVal>
          <c:yVal>
            <c:numRef>
              <c:f>'1D'!$J$2:$J$9</c:f>
              <c:numCache>
                <c:formatCode>0.00</c:formatCode>
                <c:ptCount val="8"/>
                <c:pt idx="0">
                  <c:v>15.306939449658163</c:v>
                </c:pt>
                <c:pt idx="1">
                  <c:v>21.647281368130333</c:v>
                </c:pt>
                <c:pt idx="2">
                  <c:v>26.51239683518833</c:v>
                </c:pt>
                <c:pt idx="3">
                  <c:v>30.613878899316326</c:v>
                </c:pt>
                <c:pt idx="4">
                  <c:v>34.227357136908871</c:v>
                </c:pt>
                <c:pt idx="5">
                  <c:v>37.494191175340859</c:v>
                </c:pt>
                <c:pt idx="6">
                  <c:v>40.498355117319392</c:v>
                </c:pt>
                <c:pt idx="7">
                  <c:v>43.294562736260666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90-C84D-A62D-BF847964B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175871"/>
        <c:axId val="525386751"/>
      </c:scatterChart>
      <c:valAx>
        <c:axId val="195717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a22/a0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86751"/>
        <c:crosses val="autoZero"/>
        <c:crossBetween val="midCat"/>
      </c:valAx>
      <c:valAx>
        <c:axId val="52538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a12/a0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75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'1D'!$I$1</c:f>
              <c:strCache>
                <c:ptCount val="1"/>
                <c:pt idx="0">
                  <c:v>a12,l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'1D'!$F$10:$F$17</c:f>
              <c:numCache>
                <c:formatCode>General</c:formatCode>
                <c:ptCount val="8"/>
                <c:pt idx="0">
                  <c:v>65</c:v>
                </c:pt>
                <c:pt idx="1">
                  <c:v>75</c:v>
                </c:pt>
                <c:pt idx="2">
                  <c:v>85</c:v>
                </c:pt>
                <c:pt idx="3">
                  <c:v>95</c:v>
                </c:pt>
                <c:pt idx="4">
                  <c:v>105</c:v>
                </c:pt>
                <c:pt idx="5">
                  <c:v>115</c:v>
                </c:pt>
                <c:pt idx="6">
                  <c:v>125</c:v>
                </c:pt>
                <c:pt idx="7">
                  <c:v>135</c:v>
                </c:pt>
              </c:numCache>
            </c:numRef>
          </c:xVal>
          <c:yVal>
            <c:numRef>
              <c:f>'1D'!$I$10:$I$17</c:f>
              <c:numCache>
                <c:formatCode>General</c:formatCode>
                <c:ptCount val="8"/>
                <c:pt idx="0">
                  <c:v>21.2</c:v>
                </c:pt>
                <c:pt idx="1">
                  <c:v>26.8</c:v>
                </c:pt>
                <c:pt idx="2">
                  <c:v>31.1</c:v>
                </c:pt>
                <c:pt idx="3">
                  <c:v>34.700000000000003</c:v>
                </c:pt>
                <c:pt idx="4">
                  <c:v>37.9</c:v>
                </c:pt>
                <c:pt idx="5">
                  <c:v>40.799999999999997</c:v>
                </c:pt>
                <c:pt idx="6">
                  <c:v>43.5</c:v>
                </c:pt>
                <c:pt idx="7">
                  <c:v>45.9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A4-F94F-B78D-4499ABB1BA6C}"/>
            </c:ext>
          </c:extLst>
        </c:ser>
        <c:ser>
          <c:idx val="1"/>
          <c:order val="1"/>
          <c:tx>
            <c:strRef>
              <c:f>'1D'!$J$1</c:f>
              <c:strCache>
                <c:ptCount val="1"/>
                <c:pt idx="0">
                  <c:v>a12,r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'1D'!$F$10:$F$17</c:f>
              <c:numCache>
                <c:formatCode>General</c:formatCode>
                <c:ptCount val="8"/>
                <c:pt idx="0">
                  <c:v>65</c:v>
                </c:pt>
                <c:pt idx="1">
                  <c:v>75</c:v>
                </c:pt>
                <c:pt idx="2">
                  <c:v>85</c:v>
                </c:pt>
                <c:pt idx="3">
                  <c:v>95</c:v>
                </c:pt>
                <c:pt idx="4">
                  <c:v>105</c:v>
                </c:pt>
                <c:pt idx="5">
                  <c:v>115</c:v>
                </c:pt>
                <c:pt idx="6">
                  <c:v>125</c:v>
                </c:pt>
                <c:pt idx="7">
                  <c:v>135</c:v>
                </c:pt>
              </c:numCache>
            </c:numRef>
          </c:xVal>
          <c:yVal>
            <c:numRef>
              <c:f>'1D'!$J$10:$J$17</c:f>
              <c:numCache>
                <c:formatCode>0.00</c:formatCode>
                <c:ptCount val="8"/>
                <c:pt idx="0">
                  <c:v>42.640199198037173</c:v>
                </c:pt>
                <c:pt idx="1">
                  <c:v>44.784243924629244</c:v>
                </c:pt>
                <c:pt idx="2">
                  <c:v>46.830229768314105</c:v>
                </c:pt>
                <c:pt idx="3">
                  <c:v>48.790494324258432</c:v>
                </c:pt>
                <c:pt idx="4">
                  <c:v>50.674986459375553</c:v>
                </c:pt>
                <c:pt idx="5">
                  <c:v>52.491867645477193</c:v>
                </c:pt>
                <c:pt idx="6">
                  <c:v>54.247931621055358</c:v>
                </c:pt>
                <c:pt idx="7">
                  <c:v>55.948905274501101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A4-F94F-B78D-4499ABB1B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175871"/>
        <c:axId val="525386751"/>
      </c:scatterChart>
      <c:valAx>
        <c:axId val="1957175871"/>
        <c:scaling>
          <c:orientation val="minMax"/>
          <c:min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a11/a0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86751"/>
        <c:crosses val="autoZero"/>
        <c:crossBetween val="midCat"/>
      </c:valAx>
      <c:valAx>
        <c:axId val="52538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a12/a0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75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'1D'!$I$1</c:f>
              <c:strCache>
                <c:ptCount val="1"/>
                <c:pt idx="0">
                  <c:v>a12,l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0.11329654496878733"/>
                  <c:y val="9.296189423844808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'1D'!$A$18:$A$25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24</c:v>
                </c:pt>
                <c:pt idx="6">
                  <c:v>30</c:v>
                </c:pt>
                <c:pt idx="7">
                  <c:v>35</c:v>
                </c:pt>
              </c:numCache>
            </c:numRef>
          </c:xVal>
          <c:yVal>
            <c:numRef>
              <c:f>'1D'!$I$18:$I$25</c:f>
              <c:numCache>
                <c:formatCode>General</c:formatCode>
                <c:ptCount val="8"/>
                <c:pt idx="0">
                  <c:v>40.799999999999997</c:v>
                </c:pt>
                <c:pt idx="1">
                  <c:v>33.5</c:v>
                </c:pt>
                <c:pt idx="2">
                  <c:v>28.6</c:v>
                </c:pt>
                <c:pt idx="3">
                  <c:v>25.9</c:v>
                </c:pt>
                <c:pt idx="4">
                  <c:v>24.1</c:v>
                </c:pt>
                <c:pt idx="5">
                  <c:v>23.1</c:v>
                </c:pt>
                <c:pt idx="6">
                  <c:v>21.9</c:v>
                </c:pt>
                <c:pt idx="7">
                  <c:v>21.1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34-D34B-9791-689A224CBA7B}"/>
            </c:ext>
          </c:extLst>
        </c:ser>
        <c:ser>
          <c:idx val="1"/>
          <c:order val="1"/>
          <c:tx>
            <c:strRef>
              <c:f>'1D'!$J$1</c:f>
              <c:strCache>
                <c:ptCount val="1"/>
                <c:pt idx="0">
                  <c:v>a12,r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1.2089011410992456E-2"/>
                  <c:y val="-0.22592398795472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'1D'!$A$18:$A$25</c:f>
              <c:numCache>
                <c:formatCode>General</c:formatCode>
                <c:ptCount val="8"/>
                <c:pt idx="0">
                  <c:v>1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24</c:v>
                </c:pt>
                <c:pt idx="6">
                  <c:v>30</c:v>
                </c:pt>
                <c:pt idx="7">
                  <c:v>35</c:v>
                </c:pt>
              </c:numCache>
            </c:numRef>
          </c:xVal>
          <c:yVal>
            <c:numRef>
              <c:f>'1D'!$J$18:$J$25</c:f>
              <c:numCache>
                <c:formatCode>0.00</c:formatCode>
                <c:ptCount val="8"/>
                <c:pt idx="0">
                  <c:v>90.104902544349116</c:v>
                </c:pt>
                <c:pt idx="1">
                  <c:v>69.311339342102045</c:v>
                </c:pt>
                <c:pt idx="2">
                  <c:v>56.818374396765826</c:v>
                </c:pt>
                <c:pt idx="3">
                  <c:v>50.15337712808379</c:v>
                </c:pt>
                <c:pt idx="4">
                  <c:v>45.840236936322185</c:v>
                </c:pt>
                <c:pt idx="5">
                  <c:v>43.294562736260666</c:v>
                </c:pt>
                <c:pt idx="6">
                  <c:v>40.375587559167968</c:v>
                </c:pt>
                <c:pt idx="7">
                  <c:v>38.482258674029303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34-D34B-9791-689A224CBA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175871"/>
        <c:axId val="525386751"/>
      </c:scatterChart>
      <c:valAx>
        <c:axId val="1957175871"/>
        <c:scaling>
          <c:orientation val="minMax"/>
          <c:max val="4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M1/M2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86751"/>
        <c:crosses val="autoZero"/>
        <c:crossBetween val="midCat"/>
      </c:valAx>
      <c:valAx>
        <c:axId val="52538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a12/a0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75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'1D'!$I$1</c:f>
              <c:strCache>
                <c:ptCount val="1"/>
                <c:pt idx="0">
                  <c:v>a12,l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'1D'!$D$26:$D$32</c:f>
              <c:numCache>
                <c:formatCode>General</c:formatCode>
                <c:ptCount val="7"/>
                <c:pt idx="0">
                  <c:v>0.02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1</c:v>
                </c:pt>
                <c:pt idx="6">
                  <c:v>1.5</c:v>
                </c:pt>
              </c:numCache>
            </c:numRef>
          </c:xVal>
          <c:yVal>
            <c:numRef>
              <c:f>'1D'!$I$26:$I$32</c:f>
              <c:numCache>
                <c:formatCode>General</c:formatCode>
                <c:ptCount val="7"/>
                <c:pt idx="0">
                  <c:v>41.4</c:v>
                </c:pt>
                <c:pt idx="1">
                  <c:v>30.3</c:v>
                </c:pt>
                <c:pt idx="2">
                  <c:v>26.1</c:v>
                </c:pt>
                <c:pt idx="3">
                  <c:v>23.1</c:v>
                </c:pt>
                <c:pt idx="4">
                  <c:v>21.8</c:v>
                </c:pt>
                <c:pt idx="5">
                  <c:v>20.7</c:v>
                </c:pt>
                <c:pt idx="6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0A-B449-A757-B18973F902FF}"/>
            </c:ext>
          </c:extLst>
        </c:ser>
        <c:ser>
          <c:idx val="1"/>
          <c:order val="1"/>
          <c:tx>
            <c:strRef>
              <c:f>'1D'!$J$1</c:f>
              <c:strCache>
                <c:ptCount val="1"/>
                <c:pt idx="0">
                  <c:v>a12,r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'1D'!$D$26:$D$32</c:f>
              <c:numCache>
                <c:formatCode>General</c:formatCode>
                <c:ptCount val="7"/>
                <c:pt idx="0">
                  <c:v>0.02</c:v>
                </c:pt>
                <c:pt idx="1">
                  <c:v>0.1</c:v>
                </c:pt>
                <c:pt idx="2">
                  <c:v>0.2</c:v>
                </c:pt>
                <c:pt idx="3">
                  <c:v>0.4</c:v>
                </c:pt>
                <c:pt idx="4">
                  <c:v>0.6</c:v>
                </c:pt>
                <c:pt idx="5">
                  <c:v>1</c:v>
                </c:pt>
                <c:pt idx="6">
                  <c:v>1.5</c:v>
                </c:pt>
              </c:numCache>
            </c:numRef>
          </c:xVal>
          <c:yVal>
            <c:numRef>
              <c:f>'1D'!$J$26:$J$32</c:f>
              <c:numCache>
                <c:formatCode>0.00</c:formatCode>
                <c:ptCount val="7"/>
                <c:pt idx="0">
                  <c:v>43.294562736260666</c:v>
                </c:pt>
                <c:pt idx="1">
                  <c:v>43.294562736260666</c:v>
                </c:pt>
                <c:pt idx="2">
                  <c:v>43.294562736260666</c:v>
                </c:pt>
                <c:pt idx="3">
                  <c:v>43.294562736260666</c:v>
                </c:pt>
                <c:pt idx="4">
                  <c:v>43.294562736260666</c:v>
                </c:pt>
                <c:pt idx="5">
                  <c:v>43.294562736260666</c:v>
                </c:pt>
                <c:pt idx="6">
                  <c:v>43.294562736260666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0A-B449-A757-B18973F90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175871"/>
        <c:axId val="525386751"/>
      </c:scatterChart>
      <c:valAx>
        <c:axId val="1957175871"/>
        <c:scaling>
          <c:orientation val="minMax"/>
          <c:max val="1.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n2/n1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86751"/>
        <c:crosses val="autoZero"/>
        <c:crossBetween val="midCat"/>
      </c:valAx>
      <c:valAx>
        <c:axId val="52538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a12/a0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75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'1D'!$I$1</c:f>
              <c:strCache>
                <c:ptCount val="1"/>
                <c:pt idx="0">
                  <c:v>a12,l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2.4096848229769458E-2"/>
                  <c:y val="0.1361806343232514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'1D'!$B$33:$B$36</c:f>
              <c:numCache>
                <c:formatCode>General</c:formatCode>
                <c:ptCount val="4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</c:numCache>
            </c:numRef>
          </c:xVal>
          <c:yVal>
            <c:numRef>
              <c:f>'1D'!$I$33:$I$36</c:f>
              <c:numCache>
                <c:formatCode>General</c:formatCode>
                <c:ptCount val="4"/>
                <c:pt idx="0">
                  <c:v>33.799999999999997</c:v>
                </c:pt>
                <c:pt idx="1">
                  <c:v>27.2</c:v>
                </c:pt>
                <c:pt idx="2">
                  <c:v>23.1</c:v>
                </c:pt>
                <c:pt idx="3">
                  <c:v>20.9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2B-3F46-87B8-2D843597C9DF}"/>
            </c:ext>
          </c:extLst>
        </c:ser>
        <c:ser>
          <c:idx val="1"/>
          <c:order val="1"/>
          <c:tx>
            <c:strRef>
              <c:f>'1D'!$J$1</c:f>
              <c:strCache>
                <c:ptCount val="1"/>
                <c:pt idx="0">
                  <c:v>a12,r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'1D'!$B$33:$B$36</c:f>
              <c:numCache>
                <c:formatCode>General</c:formatCode>
                <c:ptCount val="4"/>
                <c:pt idx="0">
                  <c:v>1000</c:v>
                </c:pt>
                <c:pt idx="1">
                  <c:v>2500</c:v>
                </c:pt>
                <c:pt idx="2">
                  <c:v>5000</c:v>
                </c:pt>
                <c:pt idx="3">
                  <c:v>7500</c:v>
                </c:pt>
              </c:numCache>
            </c:numRef>
          </c:xVal>
          <c:yVal>
            <c:numRef>
              <c:f>'1D'!$J$33:$J$36</c:f>
              <c:numCache>
                <c:formatCode>0.00</c:formatCode>
                <c:ptCount val="4"/>
                <c:pt idx="0">
                  <c:v>43.294562736260666</c:v>
                </c:pt>
                <c:pt idx="1">
                  <c:v>43.294562736260666</c:v>
                </c:pt>
                <c:pt idx="2">
                  <c:v>43.294562736260666</c:v>
                </c:pt>
                <c:pt idx="3">
                  <c:v>43.294562736260666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2B-3F46-87B8-2D843597C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7175871"/>
        <c:axId val="525386751"/>
      </c:scatterChart>
      <c:valAx>
        <c:axId val="1957175871"/>
        <c:scaling>
          <c:orientation val="minMax"/>
          <c:max val="1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386751"/>
        <c:crosses val="autoZero"/>
        <c:crossBetween val="midCat"/>
      </c:valAx>
      <c:valAx>
        <c:axId val="52538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a12/a0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175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218978</xdr:colOff>
      <xdr:row>0</xdr:row>
      <xdr:rowOff>125268</xdr:rowOff>
    </xdr:from>
    <xdr:to>
      <xdr:col>20</xdr:col>
      <xdr:colOff>443345</xdr:colOff>
      <xdr:row>14</xdr:row>
      <xdr:rowOff>23669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BF2B7D-E6F9-D4B0-440C-3BEE7CDCFF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213783</xdr:colOff>
      <xdr:row>16</xdr:row>
      <xdr:rowOff>55033</xdr:rowOff>
    </xdr:from>
    <xdr:to>
      <xdr:col>20</xdr:col>
      <xdr:colOff>438150</xdr:colOff>
      <xdr:row>32</xdr:row>
      <xdr:rowOff>156633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904811-368D-9C8C-F3B5-19AF2C219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282656</xdr:colOff>
      <xdr:row>33</xdr:row>
      <xdr:rowOff>60057</xdr:rowOff>
    </xdr:from>
    <xdr:to>
      <xdr:col>20</xdr:col>
      <xdr:colOff>507023</xdr:colOff>
      <xdr:row>43</xdr:row>
      <xdr:rowOff>161658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8311BB-A23D-8DE4-627F-14F72C5855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148909</xdr:colOff>
      <xdr:row>0</xdr:row>
      <xdr:rowOff>0</xdr:rowOff>
    </xdr:from>
    <xdr:to>
      <xdr:col>26</xdr:col>
      <xdr:colOff>572243</xdr:colOff>
      <xdr:row>13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4B74E8-7B42-85A1-BC98-649362BB0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289123</xdr:colOff>
      <xdr:row>44</xdr:row>
      <xdr:rowOff>9931</xdr:rowOff>
    </xdr:from>
    <xdr:to>
      <xdr:col>20</xdr:col>
      <xdr:colOff>510325</xdr:colOff>
      <xdr:row>53</xdr:row>
      <xdr:rowOff>97693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1BCA5E0-A4F7-9E88-2133-ED2211390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198647</xdr:colOff>
      <xdr:row>52</xdr:row>
      <xdr:rowOff>89789</xdr:rowOff>
    </xdr:from>
    <xdr:to>
      <xdr:col>5</xdr:col>
      <xdr:colOff>669792</xdr:colOff>
      <xdr:row>65</xdr:row>
      <xdr:rowOff>196939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821B885-47AC-E59E-9E42-C498107C6E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101297</xdr:colOff>
      <xdr:row>52</xdr:row>
      <xdr:rowOff>115812</xdr:rowOff>
    </xdr:from>
    <xdr:to>
      <xdr:col>11</xdr:col>
      <xdr:colOff>524630</xdr:colOff>
      <xdr:row>66</xdr:row>
      <xdr:rowOff>13305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F3E185E-14BC-D6D7-09A0-E1AED4F0CE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250833</xdr:colOff>
      <xdr:row>66</xdr:row>
      <xdr:rowOff>123883</xdr:rowOff>
    </xdr:from>
    <xdr:to>
      <xdr:col>5</xdr:col>
      <xdr:colOff>700745</xdr:colOff>
      <xdr:row>79</xdr:row>
      <xdr:rowOff>189786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87C252B-D0EA-E4FD-ABE1-6F005C707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9769</xdr:colOff>
      <xdr:row>67</xdr:row>
      <xdr:rowOff>35170</xdr:rowOff>
    </xdr:from>
    <xdr:to>
      <xdr:col>11</xdr:col>
      <xdr:colOff>478692</xdr:colOff>
      <xdr:row>81</xdr:row>
      <xdr:rowOff>42985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403F96B-5110-2C7A-B195-81D00549D0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97143</xdr:colOff>
      <xdr:row>82</xdr:row>
      <xdr:rowOff>53027</xdr:rowOff>
    </xdr:from>
    <xdr:to>
      <xdr:col>11</xdr:col>
      <xdr:colOff>515128</xdr:colOff>
      <xdr:row>95</xdr:row>
      <xdr:rowOff>154627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9A6C5ED-C6E8-B1D5-4BCC-4376AF1726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389622</xdr:colOff>
      <xdr:row>2</xdr:row>
      <xdr:rowOff>74523</xdr:rowOff>
    </xdr:from>
    <xdr:to>
      <xdr:col>16</xdr:col>
      <xdr:colOff>67434</xdr:colOff>
      <xdr:row>15</xdr:row>
      <xdr:rowOff>201243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74E144-58C7-3145-87B9-6190E5A3E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393363</xdr:colOff>
      <xdr:row>16</xdr:row>
      <xdr:rowOff>22479</xdr:rowOff>
    </xdr:from>
    <xdr:to>
      <xdr:col>16</xdr:col>
      <xdr:colOff>71175</xdr:colOff>
      <xdr:row>29</xdr:row>
      <xdr:rowOff>149198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20C72E-64F4-4C43-A884-62402519F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382125</xdr:colOff>
      <xdr:row>29</xdr:row>
      <xdr:rowOff>168583</xdr:rowOff>
    </xdr:from>
    <xdr:to>
      <xdr:col>16</xdr:col>
      <xdr:colOff>59937</xdr:colOff>
      <xdr:row>43</xdr:row>
      <xdr:rowOff>93002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859FE0-D3E4-2C4E-B362-28ED52389E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337169</xdr:colOff>
      <xdr:row>43</xdr:row>
      <xdr:rowOff>134867</xdr:rowOff>
    </xdr:from>
    <xdr:to>
      <xdr:col>16</xdr:col>
      <xdr:colOff>14981</xdr:colOff>
      <xdr:row>57</xdr:row>
      <xdr:rowOff>59286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173BCE-15EF-E344-94BA-FBEBE8AF7B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270934</xdr:colOff>
      <xdr:row>57</xdr:row>
      <xdr:rowOff>169333</xdr:rowOff>
    </xdr:from>
    <xdr:to>
      <xdr:col>15</xdr:col>
      <xdr:colOff>778480</xdr:colOff>
      <xdr:row>71</xdr:row>
      <xdr:rowOff>93752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D34386-A419-BA4A-80E2-E10B3025B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21F10-C714-CD47-8792-994FF2EBD41B}">
  <dimension ref="A1:T51"/>
  <sheetViews>
    <sheetView tabSelected="1" topLeftCell="G27" zoomScale="111" workbookViewId="0">
      <selection activeCell="N54" sqref="L54:N54"/>
    </sheetView>
  </sheetViews>
  <sheetFormatPr baseColWidth="10" defaultRowHeight="16" x14ac:dyDescent="0.2"/>
  <cols>
    <col min="10" max="10" width="10.83203125" bestFit="1" customWidth="1"/>
    <col min="14" max="14" width="12.6640625" bestFit="1" customWidth="1"/>
    <col min="20" max="20" width="13.6640625" customWidth="1"/>
  </cols>
  <sheetData>
    <row r="1" spans="1:20" x14ac:dyDescent="0.2">
      <c r="A1" s="4" t="s">
        <v>0</v>
      </c>
      <c r="B1" s="5" t="s">
        <v>1</v>
      </c>
      <c r="C1" s="5" t="s">
        <v>2</v>
      </c>
      <c r="D1" s="5" t="s">
        <v>13</v>
      </c>
      <c r="E1" s="5" t="s">
        <v>9</v>
      </c>
      <c r="F1" s="5" t="s">
        <v>4</v>
      </c>
      <c r="G1" s="5" t="s">
        <v>3</v>
      </c>
      <c r="H1" s="5" t="s">
        <v>5</v>
      </c>
      <c r="I1" s="4" t="s">
        <v>6</v>
      </c>
      <c r="J1" s="4" t="s">
        <v>7</v>
      </c>
      <c r="K1" s="6" t="s">
        <v>8</v>
      </c>
      <c r="L1" s="2" t="s">
        <v>10</v>
      </c>
      <c r="M1" s="2" t="s">
        <v>12</v>
      </c>
      <c r="T1" t="s">
        <v>11</v>
      </c>
    </row>
    <row r="2" spans="1:20" x14ac:dyDescent="0.2">
      <c r="A2" s="4">
        <v>24</v>
      </c>
      <c r="B2" s="5">
        <v>1300</v>
      </c>
      <c r="C2" s="5">
        <v>1300</v>
      </c>
      <c r="D2" s="5">
        <f>C2/B2</f>
        <v>1</v>
      </c>
      <c r="E2" s="10">
        <f>270/166</f>
        <v>1.6265060240963856</v>
      </c>
      <c r="F2" s="5">
        <v>65</v>
      </c>
      <c r="G2" s="5">
        <v>64</v>
      </c>
      <c r="H2" s="5">
        <v>10</v>
      </c>
      <c r="I2" s="4">
        <v>8.6</v>
      </c>
      <c r="J2" s="12">
        <f t="shared" ref="J2:J21" si="0">SQRT(2*(F2+2*G2)*H2*E2^(-1/4)*1/A2^(3/4))</f>
        <v>17.754460382681216</v>
      </c>
      <c r="K2" s="17">
        <f t="shared" ref="K2:K21" si="1">J2*SQRT((1+SQRT(E2/A2)))/(1+1/A2)</f>
        <v>19.134655189365088</v>
      </c>
      <c r="L2" s="15">
        <f t="shared" ref="L2:L21" si="2">SQRT(8*SQRT(2*PI())*C2)*SQRT(H2*$T$2)*(E2/A2)^(1/8)</f>
        <v>3.3265536201983141</v>
      </c>
      <c r="M2" s="15">
        <v>2.9284400000000002</v>
      </c>
      <c r="T2">
        <f>0.0000000000529/SQRT(1.05E-34/(166*1.66E-27*150*2*PI()))</f>
        <v>8.3196426809999962E-5</v>
      </c>
    </row>
    <row r="3" spans="1:20" x14ac:dyDescent="0.2">
      <c r="A3" s="7">
        <v>24</v>
      </c>
      <c r="B3">
        <v>1300</v>
      </c>
      <c r="C3">
        <v>1300</v>
      </c>
      <c r="D3">
        <f t="shared" ref="D3:D38" si="3">C3/B3</f>
        <v>1</v>
      </c>
      <c r="E3" s="1">
        <f t="shared" ref="E3:E51" si="4">270/166</f>
        <v>1.6265060240963856</v>
      </c>
      <c r="F3">
        <v>65</v>
      </c>
      <c r="G3">
        <v>64</v>
      </c>
      <c r="H3">
        <v>20</v>
      </c>
      <c r="I3" s="7">
        <v>10.7</v>
      </c>
      <c r="J3" s="13">
        <f t="shared" si="0"/>
        <v>25.108598665803584</v>
      </c>
      <c r="K3" s="18">
        <f t="shared" si="1"/>
        <v>27.060488880132826</v>
      </c>
      <c r="L3" s="16">
        <f t="shared" si="2"/>
        <v>4.7044572456457736</v>
      </c>
      <c r="M3" s="16">
        <v>3.298</v>
      </c>
    </row>
    <row r="4" spans="1:20" x14ac:dyDescent="0.2">
      <c r="A4" s="7">
        <v>24</v>
      </c>
      <c r="B4">
        <v>1300</v>
      </c>
      <c r="C4">
        <v>1300</v>
      </c>
      <c r="D4">
        <f t="shared" si="3"/>
        <v>1</v>
      </c>
      <c r="E4" s="1">
        <f t="shared" si="4"/>
        <v>1.6265060240963856</v>
      </c>
      <c r="F4">
        <v>65</v>
      </c>
      <c r="G4">
        <v>64</v>
      </c>
      <c r="H4">
        <v>30</v>
      </c>
      <c r="I4" s="7">
        <v>12.3</v>
      </c>
      <c r="J4" s="13">
        <f t="shared" si="0"/>
        <v>30.751627443772634</v>
      </c>
      <c r="K4" s="18">
        <f t="shared" si="1"/>
        <v>33.142194973291808</v>
      </c>
      <c r="L4" s="16">
        <f t="shared" si="2"/>
        <v>5.761759884285663</v>
      </c>
      <c r="M4" s="16">
        <v>3.4834000000000001</v>
      </c>
    </row>
    <row r="5" spans="1:20" x14ac:dyDescent="0.2">
      <c r="A5" s="7">
        <v>24</v>
      </c>
      <c r="B5">
        <v>1300</v>
      </c>
      <c r="C5">
        <v>1300</v>
      </c>
      <c r="D5">
        <f t="shared" si="3"/>
        <v>1</v>
      </c>
      <c r="E5" s="1">
        <f t="shared" si="4"/>
        <v>1.6265060240963856</v>
      </c>
      <c r="F5">
        <v>65</v>
      </c>
      <c r="G5">
        <v>64</v>
      </c>
      <c r="H5">
        <v>40</v>
      </c>
      <c r="I5" s="7">
        <v>13.7</v>
      </c>
      <c r="J5" s="13">
        <f t="shared" si="0"/>
        <v>35.508920765362433</v>
      </c>
      <c r="K5" s="18">
        <f t="shared" si="1"/>
        <v>38.269310378730175</v>
      </c>
      <c r="L5" s="16">
        <f t="shared" si="2"/>
        <v>6.6531072403966283</v>
      </c>
      <c r="M5" s="16">
        <v>3.6006999999999998</v>
      </c>
    </row>
    <row r="6" spans="1:20" x14ac:dyDescent="0.2">
      <c r="A6" s="7">
        <v>24</v>
      </c>
      <c r="B6">
        <v>1300</v>
      </c>
      <c r="C6">
        <v>1300</v>
      </c>
      <c r="D6">
        <f t="shared" si="3"/>
        <v>1</v>
      </c>
      <c r="E6" s="1">
        <f t="shared" si="4"/>
        <v>1.6265060240963856</v>
      </c>
      <c r="F6">
        <v>65</v>
      </c>
      <c r="G6">
        <v>64</v>
      </c>
      <c r="H6">
        <v>50</v>
      </c>
      <c r="I6" s="7">
        <v>15</v>
      </c>
      <c r="J6" s="13">
        <f t="shared" si="0"/>
        <v>39.700180319502124</v>
      </c>
      <c r="K6" s="18">
        <f t="shared" si="1"/>
        <v>42.786389729439449</v>
      </c>
      <c r="L6" s="16">
        <f t="shared" si="2"/>
        <v>7.4384000255614477</v>
      </c>
      <c r="M6" s="16">
        <v>3.68323</v>
      </c>
    </row>
    <row r="7" spans="1:20" x14ac:dyDescent="0.2">
      <c r="A7" s="7">
        <v>24</v>
      </c>
      <c r="B7">
        <v>1300</v>
      </c>
      <c r="C7">
        <v>1300</v>
      </c>
      <c r="D7">
        <f t="shared" si="3"/>
        <v>1</v>
      </c>
      <c r="E7" s="1">
        <f t="shared" si="4"/>
        <v>1.6265060240963856</v>
      </c>
      <c r="F7">
        <v>65</v>
      </c>
      <c r="G7">
        <v>64</v>
      </c>
      <c r="H7">
        <v>60</v>
      </c>
      <c r="I7" s="7">
        <v>16.100000000000001</v>
      </c>
      <c r="J7" s="13">
        <f t="shared" si="0"/>
        <v>43.48936859602793</v>
      </c>
      <c r="K7" s="18">
        <f t="shared" si="1"/>
        <v>46.870141618042688</v>
      </c>
      <c r="L7" s="16">
        <f t="shared" si="2"/>
        <v>8.1483589714940194</v>
      </c>
      <c r="M7" s="16">
        <v>3.7450700000000001</v>
      </c>
    </row>
    <row r="8" spans="1:20" x14ac:dyDescent="0.2">
      <c r="A8" s="7">
        <v>24</v>
      </c>
      <c r="B8">
        <v>1300</v>
      </c>
      <c r="C8">
        <v>1300</v>
      </c>
      <c r="D8">
        <f t="shared" si="3"/>
        <v>1</v>
      </c>
      <c r="E8" s="1">
        <f t="shared" si="4"/>
        <v>1.6265060240963856</v>
      </c>
      <c r="F8">
        <v>65</v>
      </c>
      <c r="G8">
        <v>64</v>
      </c>
      <c r="H8">
        <v>70</v>
      </c>
      <c r="I8" s="7">
        <v>17.2</v>
      </c>
      <c r="J8" s="13">
        <f t="shared" si="0"/>
        <v>46.973886834723153</v>
      </c>
      <c r="K8" s="18">
        <f t="shared" si="1"/>
        <v>50.625539054031549</v>
      </c>
      <c r="L8" s="16">
        <f t="shared" si="2"/>
        <v>8.8012336019663504</v>
      </c>
      <c r="M8" s="16">
        <v>3.7934000000000001</v>
      </c>
    </row>
    <row r="9" spans="1:20" x14ac:dyDescent="0.2">
      <c r="A9" s="8">
        <v>24</v>
      </c>
      <c r="B9" s="9">
        <v>1300</v>
      </c>
      <c r="C9" s="9">
        <v>1300</v>
      </c>
      <c r="D9" s="9">
        <f t="shared" si="3"/>
        <v>1</v>
      </c>
      <c r="E9" s="11">
        <f t="shared" si="4"/>
        <v>1.6265060240963856</v>
      </c>
      <c r="F9" s="9">
        <v>65</v>
      </c>
      <c r="G9" s="9">
        <v>64</v>
      </c>
      <c r="H9" s="9">
        <v>80</v>
      </c>
      <c r="I9" s="8">
        <v>18.2</v>
      </c>
      <c r="J9" s="14">
        <f t="shared" si="0"/>
        <v>50.217197331607167</v>
      </c>
      <c r="K9" s="19">
        <f t="shared" si="1"/>
        <v>54.120977760265653</v>
      </c>
      <c r="L9" s="3">
        <f t="shared" si="2"/>
        <v>9.4089144912915472</v>
      </c>
      <c r="M9" s="3">
        <v>3.8323499999999999</v>
      </c>
    </row>
    <row r="10" spans="1:20" x14ac:dyDescent="0.2">
      <c r="A10" s="4">
        <v>24</v>
      </c>
      <c r="B10" s="5">
        <v>1300</v>
      </c>
      <c r="C10" s="5">
        <v>1300</v>
      </c>
      <c r="D10" s="5">
        <f t="shared" si="3"/>
        <v>1</v>
      </c>
      <c r="E10" s="10">
        <f t="shared" si="4"/>
        <v>1.6265060240963856</v>
      </c>
      <c r="F10" s="5">
        <v>75</v>
      </c>
      <c r="G10" s="5">
        <v>64</v>
      </c>
      <c r="H10" s="5">
        <v>80</v>
      </c>
      <c r="I10" s="4">
        <v>22.5</v>
      </c>
      <c r="J10" s="12">
        <f t="shared" si="0"/>
        <v>51.501732064632549</v>
      </c>
      <c r="K10" s="17">
        <f t="shared" si="1"/>
        <v>55.505369550577669</v>
      </c>
      <c r="L10" s="15">
        <f t="shared" si="2"/>
        <v>9.4089144912915472</v>
      </c>
      <c r="M10" s="15">
        <v>3.6709999999999998</v>
      </c>
    </row>
    <row r="11" spans="1:20" x14ac:dyDescent="0.2">
      <c r="A11" s="7">
        <v>24</v>
      </c>
      <c r="B11">
        <v>1300</v>
      </c>
      <c r="C11">
        <v>1300</v>
      </c>
      <c r="D11">
        <f t="shared" si="3"/>
        <v>1</v>
      </c>
      <c r="E11" s="1">
        <f t="shared" si="4"/>
        <v>1.6265060240963856</v>
      </c>
      <c r="F11">
        <v>85</v>
      </c>
      <c r="G11">
        <v>64</v>
      </c>
      <c r="H11">
        <v>80</v>
      </c>
      <c r="I11" s="7">
        <v>26.1</v>
      </c>
      <c r="J11" s="13">
        <f t="shared" si="0"/>
        <v>52.75499884819282</v>
      </c>
      <c r="K11" s="18">
        <f t="shared" si="1"/>
        <v>56.856062686095484</v>
      </c>
      <c r="L11" s="16">
        <f t="shared" si="2"/>
        <v>9.4089144912915472</v>
      </c>
      <c r="M11" s="16">
        <v>3.5322100000000001</v>
      </c>
    </row>
    <row r="12" spans="1:20" x14ac:dyDescent="0.2">
      <c r="A12" s="7">
        <v>24</v>
      </c>
      <c r="B12">
        <v>1300</v>
      </c>
      <c r="C12">
        <v>1300</v>
      </c>
      <c r="D12">
        <f t="shared" si="3"/>
        <v>1</v>
      </c>
      <c r="E12" s="1">
        <f t="shared" si="4"/>
        <v>1.6265060240963856</v>
      </c>
      <c r="F12">
        <v>95</v>
      </c>
      <c r="G12">
        <v>64</v>
      </c>
      <c r="H12">
        <v>80</v>
      </c>
      <c r="I12" s="7">
        <v>29.2</v>
      </c>
      <c r="J12" s="13">
        <f t="shared" si="0"/>
        <v>53.979175626239893</v>
      </c>
      <c r="K12" s="18">
        <f t="shared" si="1"/>
        <v>58.175404419601961</v>
      </c>
      <c r="L12" s="16">
        <f t="shared" si="2"/>
        <v>9.4089144912915472</v>
      </c>
      <c r="M12" s="16">
        <v>3.41126</v>
      </c>
    </row>
    <row r="13" spans="1:20" x14ac:dyDescent="0.2">
      <c r="A13" s="7">
        <v>24</v>
      </c>
      <c r="B13">
        <v>1300</v>
      </c>
      <c r="C13">
        <v>1300</v>
      </c>
      <c r="D13">
        <f t="shared" si="3"/>
        <v>1</v>
      </c>
      <c r="E13" s="1">
        <f t="shared" si="4"/>
        <v>1.6265060240963856</v>
      </c>
      <c r="F13">
        <v>105</v>
      </c>
      <c r="G13">
        <v>64</v>
      </c>
      <c r="H13">
        <v>80</v>
      </c>
      <c r="I13" s="7">
        <v>32</v>
      </c>
      <c r="J13" s="13">
        <f t="shared" si="0"/>
        <v>55.176198664859804</v>
      </c>
      <c r="K13" s="18">
        <f t="shared" si="1"/>
        <v>59.465481538479679</v>
      </c>
      <c r="L13" s="16">
        <f t="shared" si="2"/>
        <v>9.4089144912915472</v>
      </c>
      <c r="M13" s="16">
        <v>3.3046199999999999</v>
      </c>
    </row>
    <row r="14" spans="1:20" x14ac:dyDescent="0.2">
      <c r="A14" s="7">
        <v>24</v>
      </c>
      <c r="B14">
        <v>1300</v>
      </c>
      <c r="C14">
        <v>1300</v>
      </c>
      <c r="D14">
        <f t="shared" si="3"/>
        <v>1</v>
      </c>
      <c r="E14" s="1">
        <f t="shared" si="4"/>
        <v>1.6265060240963856</v>
      </c>
      <c r="F14">
        <v>115</v>
      </c>
      <c r="G14">
        <v>64</v>
      </c>
      <c r="H14">
        <v>80</v>
      </c>
      <c r="I14" s="7">
        <v>34.5</v>
      </c>
      <c r="J14" s="13">
        <f t="shared" si="0"/>
        <v>56.347798509965784</v>
      </c>
      <c r="K14" s="18">
        <f t="shared" si="1"/>
        <v>60.728159117680256</v>
      </c>
      <c r="L14" s="16">
        <f t="shared" si="2"/>
        <v>9.4089144912915472</v>
      </c>
      <c r="M14" s="16">
        <v>3.2096499999999999</v>
      </c>
    </row>
    <row r="15" spans="1:20" x14ac:dyDescent="0.2">
      <c r="A15" s="8">
        <v>24</v>
      </c>
      <c r="B15" s="9">
        <v>1300</v>
      </c>
      <c r="C15" s="9">
        <v>1300</v>
      </c>
      <c r="D15" s="9">
        <f t="shared" si="3"/>
        <v>1</v>
      </c>
      <c r="E15" s="11">
        <f t="shared" si="4"/>
        <v>1.6265060240963856</v>
      </c>
      <c r="F15" s="9">
        <v>125</v>
      </c>
      <c r="G15" s="9">
        <v>64</v>
      </c>
      <c r="H15" s="9">
        <v>80</v>
      </c>
      <c r="I15" s="8">
        <v>36.9</v>
      </c>
      <c r="J15" s="14">
        <f t="shared" si="0"/>
        <v>57.49552934563981</v>
      </c>
      <c r="K15" s="19">
        <f t="shared" si="1"/>
        <v>61.965112160322263</v>
      </c>
      <c r="L15" s="3">
        <f t="shared" si="2"/>
        <v>9.4089144912915472</v>
      </c>
      <c r="M15" s="3">
        <v>3.12432</v>
      </c>
    </row>
    <row r="16" spans="1:20" x14ac:dyDescent="0.2">
      <c r="A16" s="4">
        <v>1</v>
      </c>
      <c r="B16" s="5">
        <v>1300</v>
      </c>
      <c r="C16" s="5">
        <v>1300</v>
      </c>
      <c r="D16" s="5">
        <f t="shared" si="3"/>
        <v>1</v>
      </c>
      <c r="E16" s="10">
        <f t="shared" si="4"/>
        <v>1.6265060240963856</v>
      </c>
      <c r="F16" s="5">
        <v>68</v>
      </c>
      <c r="G16" s="5">
        <v>64</v>
      </c>
      <c r="H16" s="5">
        <v>80</v>
      </c>
      <c r="I16" s="4">
        <v>43.4</v>
      </c>
      <c r="J16" s="12">
        <f t="shared" si="0"/>
        <v>166.64069471514725</v>
      </c>
      <c r="K16" s="17">
        <f t="shared" si="1"/>
        <v>125.68248038648993</v>
      </c>
      <c r="L16" s="15">
        <f t="shared" si="2"/>
        <v>13.997997991841659</v>
      </c>
      <c r="M16" s="15">
        <v>3.7812299999999999</v>
      </c>
    </row>
    <row r="17" spans="1:13" x14ac:dyDescent="0.2">
      <c r="A17" s="7">
        <v>5</v>
      </c>
      <c r="B17">
        <v>1300</v>
      </c>
      <c r="C17">
        <v>1300</v>
      </c>
      <c r="D17">
        <f t="shared" si="3"/>
        <v>1</v>
      </c>
      <c r="E17" s="1">
        <f t="shared" si="4"/>
        <v>1.6265060240963856</v>
      </c>
      <c r="F17">
        <v>68</v>
      </c>
      <c r="G17">
        <v>64</v>
      </c>
      <c r="H17">
        <v>80</v>
      </c>
      <c r="I17" s="7">
        <v>33.4</v>
      </c>
      <c r="J17" s="13">
        <f t="shared" si="0"/>
        <v>91.131247599301929</v>
      </c>
      <c r="K17" s="18">
        <f t="shared" si="1"/>
        <v>95.166599571670474</v>
      </c>
      <c r="L17" s="16">
        <f t="shared" si="2"/>
        <v>11.447078902340801</v>
      </c>
      <c r="M17" s="16">
        <v>3.7812299999999999</v>
      </c>
    </row>
    <row r="18" spans="1:13" x14ac:dyDescent="0.2">
      <c r="A18" s="7">
        <v>10</v>
      </c>
      <c r="B18">
        <v>1300</v>
      </c>
      <c r="C18">
        <v>1300</v>
      </c>
      <c r="D18">
        <f t="shared" si="3"/>
        <v>1</v>
      </c>
      <c r="E18" s="1">
        <f t="shared" si="4"/>
        <v>1.6265060240963856</v>
      </c>
      <c r="F18">
        <v>68</v>
      </c>
      <c r="G18">
        <v>64</v>
      </c>
      <c r="H18">
        <v>80</v>
      </c>
      <c r="I18" s="7">
        <v>26.8</v>
      </c>
      <c r="J18" s="13">
        <f t="shared" si="0"/>
        <v>70.271798290287407</v>
      </c>
      <c r="K18" s="18">
        <f t="shared" si="1"/>
        <v>75.67694465801587</v>
      </c>
      <c r="L18" s="16">
        <f t="shared" si="2"/>
        <v>10.497017636329405</v>
      </c>
      <c r="M18" s="16">
        <v>3.7812299999999999</v>
      </c>
    </row>
    <row r="19" spans="1:13" x14ac:dyDescent="0.2">
      <c r="A19" s="7">
        <v>20</v>
      </c>
      <c r="B19">
        <v>1300</v>
      </c>
      <c r="C19">
        <v>1300</v>
      </c>
      <c r="D19">
        <f t="shared" si="3"/>
        <v>1</v>
      </c>
      <c r="E19" s="1">
        <f t="shared" si="4"/>
        <v>1.6265060240963856</v>
      </c>
      <c r="F19">
        <v>68</v>
      </c>
      <c r="G19">
        <v>64</v>
      </c>
      <c r="H19">
        <v>80</v>
      </c>
      <c r="I19" s="7">
        <v>21</v>
      </c>
      <c r="J19" s="13">
        <f t="shared" si="0"/>
        <v>54.186964022082243</v>
      </c>
      <c r="K19" s="18">
        <f t="shared" si="1"/>
        <v>58.50416815275122</v>
      </c>
      <c r="L19" s="16">
        <f t="shared" si="2"/>
        <v>9.6258076141048043</v>
      </c>
      <c r="M19" s="16">
        <v>3.7812299999999999</v>
      </c>
    </row>
    <row r="20" spans="1:13" x14ac:dyDescent="0.2">
      <c r="A20" s="7">
        <v>24</v>
      </c>
      <c r="B20">
        <v>1300</v>
      </c>
      <c r="C20">
        <v>1300</v>
      </c>
      <c r="D20">
        <f t="shared" si="3"/>
        <v>1</v>
      </c>
      <c r="E20" s="1">
        <f t="shared" si="4"/>
        <v>1.6265060240963856</v>
      </c>
      <c r="F20">
        <v>68</v>
      </c>
      <c r="G20">
        <v>64</v>
      </c>
      <c r="H20">
        <v>80</v>
      </c>
      <c r="I20" s="7">
        <v>19.600000000000001</v>
      </c>
      <c r="J20" s="13">
        <f t="shared" si="0"/>
        <v>50.605981436844615</v>
      </c>
      <c r="K20" s="18">
        <f t="shared" si="1"/>
        <v>54.539985132862633</v>
      </c>
      <c r="L20" s="16">
        <f t="shared" si="2"/>
        <v>9.4089144912915472</v>
      </c>
      <c r="M20" s="16">
        <v>3.7812299999999999</v>
      </c>
    </row>
    <row r="21" spans="1:13" x14ac:dyDescent="0.2">
      <c r="A21" s="8">
        <v>30</v>
      </c>
      <c r="B21" s="9">
        <v>1300</v>
      </c>
      <c r="C21" s="9">
        <v>1300</v>
      </c>
      <c r="D21" s="9">
        <f t="shared" si="3"/>
        <v>1</v>
      </c>
      <c r="E21" s="11">
        <f t="shared" si="4"/>
        <v>1.6265060240963856</v>
      </c>
      <c r="F21" s="9">
        <v>68</v>
      </c>
      <c r="G21" s="9">
        <v>64</v>
      </c>
      <c r="H21" s="9">
        <v>80</v>
      </c>
      <c r="I21" s="8">
        <v>18.100000000000001</v>
      </c>
      <c r="J21" s="14">
        <f t="shared" si="0"/>
        <v>46.543667026615374</v>
      </c>
      <c r="K21" s="19">
        <f t="shared" si="1"/>
        <v>50.012023285586821</v>
      </c>
      <c r="L21" s="3">
        <f t="shared" si="2"/>
        <v>9.1500985168579803</v>
      </c>
      <c r="M21" s="3">
        <v>3.7812299999999999</v>
      </c>
    </row>
    <row r="22" spans="1:13" x14ac:dyDescent="0.2">
      <c r="A22" s="7">
        <v>24</v>
      </c>
      <c r="B22">
        <v>1300</v>
      </c>
      <c r="C22">
        <v>5</v>
      </c>
      <c r="D22" s="1">
        <f t="shared" si="3"/>
        <v>3.8461538461538464E-3</v>
      </c>
      <c r="E22" s="1">
        <f t="shared" si="4"/>
        <v>1.6265060240963856</v>
      </c>
      <c r="F22">
        <v>68</v>
      </c>
      <c r="G22">
        <v>64</v>
      </c>
      <c r="H22">
        <v>80</v>
      </c>
      <c r="I22" s="7">
        <v>50.4</v>
      </c>
      <c r="J22" s="13">
        <f t="shared" ref="J22" si="5">SQRT(2*(F22+2*G22)*H22*E22^(-1/4)*1/A22^(3/4))</f>
        <v>50.605981436844615</v>
      </c>
      <c r="K22" s="18">
        <f t="shared" ref="K22" si="6">J22*SQRT((1+SQRT(E22/A22)))/(1+1/A22)</f>
        <v>54.539985132862633</v>
      </c>
      <c r="L22" s="16">
        <f t="shared" ref="L22" si="7">SQRT(8*SQRT(2*PI())*C22)*SQRT(H22*$T$2)*(E22/A22)^(1/8)</f>
        <v>0.58351610584995228</v>
      </c>
      <c r="M22" s="16">
        <v>0.21986</v>
      </c>
    </row>
    <row r="23" spans="1:13" x14ac:dyDescent="0.2">
      <c r="A23" s="7">
        <v>24</v>
      </c>
      <c r="B23">
        <v>1300</v>
      </c>
      <c r="C23">
        <v>20</v>
      </c>
      <c r="D23" s="1">
        <f t="shared" ref="D23:D24" si="8">C23/B23</f>
        <v>1.5384615384615385E-2</v>
      </c>
      <c r="E23" s="1">
        <f t="shared" si="4"/>
        <v>1.6265060240963856</v>
      </c>
      <c r="F23">
        <v>68</v>
      </c>
      <c r="G23">
        <v>64</v>
      </c>
      <c r="H23">
        <v>80</v>
      </c>
      <c r="I23" s="7">
        <v>42.4</v>
      </c>
      <c r="J23" s="13">
        <f t="shared" ref="J23:J24" si="9">SQRT(2*(F23+2*G23)*H23*E23^(-1/4)*1/A23^(3/4))</f>
        <v>50.605981436844615</v>
      </c>
      <c r="K23" s="18">
        <f t="shared" ref="K23:K24" si="10">J23*SQRT((1+SQRT(E23/A23)))/(1+1/A23)</f>
        <v>54.539985132862633</v>
      </c>
      <c r="L23" s="16">
        <f t="shared" ref="L23:L24" si="11">SQRT(8*SQRT(2*PI())*C23)*SQRT(H23*$T$2)*(E23/A23)^(1/8)</f>
        <v>1.1670322116999046</v>
      </c>
      <c r="M23" s="16">
        <v>0.97390299999999996</v>
      </c>
    </row>
    <row r="24" spans="1:13" x14ac:dyDescent="0.2">
      <c r="A24" s="7">
        <v>24</v>
      </c>
      <c r="B24">
        <v>1300</v>
      </c>
      <c r="C24">
        <v>50</v>
      </c>
      <c r="D24" s="1">
        <f t="shared" si="8"/>
        <v>3.8461538461538464E-2</v>
      </c>
      <c r="E24" s="1">
        <f t="shared" si="4"/>
        <v>1.6265060240963856</v>
      </c>
      <c r="F24">
        <v>68</v>
      </c>
      <c r="G24">
        <v>64</v>
      </c>
      <c r="H24">
        <v>80</v>
      </c>
      <c r="I24" s="7">
        <v>34.4</v>
      </c>
      <c r="J24" s="13">
        <f t="shared" si="9"/>
        <v>50.605981436844615</v>
      </c>
      <c r="K24" s="18">
        <f t="shared" si="10"/>
        <v>54.539985132862633</v>
      </c>
      <c r="L24" s="16">
        <f t="shared" si="11"/>
        <v>1.8452399458777513</v>
      </c>
      <c r="M24" s="16">
        <v>1.9207799999999999</v>
      </c>
    </row>
    <row r="25" spans="1:13" x14ac:dyDescent="0.2">
      <c r="A25" s="7">
        <v>24</v>
      </c>
      <c r="B25">
        <v>1300</v>
      </c>
      <c r="C25">
        <v>100</v>
      </c>
      <c r="D25" s="1">
        <f t="shared" si="3"/>
        <v>7.6923076923076927E-2</v>
      </c>
      <c r="E25" s="1">
        <f t="shared" si="4"/>
        <v>1.6265060240963856</v>
      </c>
      <c r="F25">
        <v>68</v>
      </c>
      <c r="G25">
        <v>64</v>
      </c>
      <c r="H25">
        <v>80</v>
      </c>
      <c r="I25" s="7">
        <v>28.8</v>
      </c>
      <c r="J25" s="13">
        <f t="shared" ref="J25:J34" si="12">SQRT(2*(F25+2*G25)*H25*E25^(-1/4)*1/A25^(3/4))</f>
        <v>50.605981436844615</v>
      </c>
      <c r="K25" s="18">
        <f t="shared" ref="K25:K34" si="13">J25*SQRT((1+SQRT(E25/A25)))/(1+1/A25)</f>
        <v>54.539985132862633</v>
      </c>
      <c r="L25" s="16">
        <f t="shared" ref="L25:L34" si="14">SQRT(8*SQRT(2*PI())*C25)*SQRT(H25*$T$2)*(E25/A25)^(1/8)</f>
        <v>2.6095633572929118</v>
      </c>
      <c r="M25" s="16">
        <v>2.4744999999999999</v>
      </c>
    </row>
    <row r="26" spans="1:13" x14ac:dyDescent="0.2">
      <c r="A26" s="7">
        <v>24</v>
      </c>
      <c r="B26">
        <v>1300</v>
      </c>
      <c r="C26">
        <v>200</v>
      </c>
      <c r="D26" s="1">
        <f t="shared" si="3"/>
        <v>0.15384615384615385</v>
      </c>
      <c r="E26" s="1">
        <f t="shared" si="4"/>
        <v>1.6265060240963856</v>
      </c>
      <c r="F26">
        <v>68</v>
      </c>
      <c r="G26">
        <v>64</v>
      </c>
      <c r="H26">
        <v>80</v>
      </c>
      <c r="I26" s="7">
        <v>24.8</v>
      </c>
      <c r="J26" s="13">
        <f t="shared" si="12"/>
        <v>50.605981436844615</v>
      </c>
      <c r="K26" s="18">
        <f t="shared" si="13"/>
        <v>54.539985132862633</v>
      </c>
      <c r="L26" s="16">
        <f t="shared" si="14"/>
        <v>3.6904798917555026</v>
      </c>
      <c r="M26" s="16">
        <v>2.9238599999999999</v>
      </c>
    </row>
    <row r="27" spans="1:13" x14ac:dyDescent="0.2">
      <c r="A27" s="7">
        <v>24</v>
      </c>
      <c r="B27">
        <v>1300</v>
      </c>
      <c r="C27">
        <v>300</v>
      </c>
      <c r="D27" s="1">
        <f t="shared" si="3"/>
        <v>0.23076923076923078</v>
      </c>
      <c r="E27" s="1">
        <f t="shared" si="4"/>
        <v>1.6265060240963856</v>
      </c>
      <c r="F27">
        <v>68</v>
      </c>
      <c r="G27">
        <v>64</v>
      </c>
      <c r="H27">
        <v>80</v>
      </c>
      <c r="I27" s="7">
        <v>23.2</v>
      </c>
      <c r="J27" s="13">
        <f t="shared" si="12"/>
        <v>50.605981436844615</v>
      </c>
      <c r="K27" s="18">
        <f t="shared" si="13"/>
        <v>54.539985132862633</v>
      </c>
      <c r="L27" s="16">
        <f t="shared" si="14"/>
        <v>4.5198963204013385</v>
      </c>
      <c r="M27" s="16">
        <v>3.1531099999999999</v>
      </c>
    </row>
    <row r="28" spans="1:13" x14ac:dyDescent="0.2">
      <c r="A28" s="7">
        <v>24</v>
      </c>
      <c r="B28">
        <v>1300</v>
      </c>
      <c r="C28">
        <v>400</v>
      </c>
      <c r="D28" s="1">
        <f t="shared" si="3"/>
        <v>0.30769230769230771</v>
      </c>
      <c r="E28" s="1">
        <f t="shared" si="4"/>
        <v>1.6265060240963856</v>
      </c>
      <c r="F28">
        <v>68</v>
      </c>
      <c r="G28">
        <v>64</v>
      </c>
      <c r="H28">
        <v>80</v>
      </c>
      <c r="I28" s="7">
        <v>22.2</v>
      </c>
      <c r="J28" s="13">
        <f t="shared" si="12"/>
        <v>50.605981436844615</v>
      </c>
      <c r="K28" s="18">
        <f t="shared" si="13"/>
        <v>54.539985132862633</v>
      </c>
      <c r="L28" s="16">
        <f t="shared" si="14"/>
        <v>5.2191267145858236</v>
      </c>
      <c r="M28" s="16">
        <v>3.3018200000000002</v>
      </c>
    </row>
    <row r="29" spans="1:13" x14ac:dyDescent="0.2">
      <c r="A29" s="7">
        <v>24</v>
      </c>
      <c r="B29">
        <v>1300</v>
      </c>
      <c r="C29">
        <v>500</v>
      </c>
      <c r="D29" s="1">
        <f t="shared" si="3"/>
        <v>0.38461538461538464</v>
      </c>
      <c r="E29" s="1">
        <f t="shared" si="4"/>
        <v>1.6265060240963856</v>
      </c>
      <c r="F29">
        <v>68</v>
      </c>
      <c r="G29">
        <v>64</v>
      </c>
      <c r="H29">
        <v>80</v>
      </c>
      <c r="I29" s="7">
        <v>21.5</v>
      </c>
      <c r="J29" s="13">
        <f t="shared" si="12"/>
        <v>50.605981436844615</v>
      </c>
      <c r="K29" s="18">
        <f t="shared" si="13"/>
        <v>54.539985132862633</v>
      </c>
      <c r="L29" s="16">
        <f t="shared" si="14"/>
        <v>5.8351610584995228</v>
      </c>
      <c r="M29" s="16">
        <v>3.4089900000000002</v>
      </c>
    </row>
    <row r="30" spans="1:13" x14ac:dyDescent="0.2">
      <c r="A30" s="7">
        <v>24</v>
      </c>
      <c r="B30">
        <v>1300</v>
      </c>
      <c r="C30">
        <v>600</v>
      </c>
      <c r="D30" s="1">
        <f t="shared" si="3"/>
        <v>0.46153846153846156</v>
      </c>
      <c r="E30" s="1">
        <f t="shared" si="4"/>
        <v>1.6265060240963856</v>
      </c>
      <c r="F30">
        <v>68</v>
      </c>
      <c r="G30">
        <v>64</v>
      </c>
      <c r="H30">
        <v>80</v>
      </c>
      <c r="I30" s="7">
        <v>21</v>
      </c>
      <c r="J30" s="13">
        <f t="shared" si="12"/>
        <v>50.605981436844615</v>
      </c>
      <c r="K30" s="18">
        <f t="shared" si="13"/>
        <v>54.539985132862633</v>
      </c>
      <c r="L30" s="16">
        <f t="shared" si="14"/>
        <v>6.3920986768318206</v>
      </c>
      <c r="M30" s="16">
        <v>3.4910700000000001</v>
      </c>
    </row>
    <row r="31" spans="1:13" x14ac:dyDescent="0.2">
      <c r="A31" s="7">
        <v>24</v>
      </c>
      <c r="B31">
        <v>1300</v>
      </c>
      <c r="C31">
        <v>700</v>
      </c>
      <c r="D31" s="1">
        <f t="shared" si="3"/>
        <v>0.53846153846153844</v>
      </c>
      <c r="E31" s="1">
        <f t="shared" si="4"/>
        <v>1.6265060240963856</v>
      </c>
      <c r="F31">
        <v>68</v>
      </c>
      <c r="G31">
        <v>64</v>
      </c>
      <c r="H31">
        <v>80</v>
      </c>
      <c r="I31" s="7">
        <v>20.6</v>
      </c>
      <c r="J31" s="13">
        <f t="shared" si="12"/>
        <v>50.605981436844615</v>
      </c>
      <c r="K31" s="18">
        <f t="shared" si="13"/>
        <v>54.539985132862633</v>
      </c>
      <c r="L31" s="16">
        <f t="shared" si="14"/>
        <v>6.9042556738638359</v>
      </c>
      <c r="M31" s="16">
        <v>3.5564900000000002</v>
      </c>
    </row>
    <row r="32" spans="1:13" x14ac:dyDescent="0.2">
      <c r="A32" s="7">
        <v>24</v>
      </c>
      <c r="B32">
        <v>1300</v>
      </c>
      <c r="C32">
        <v>800</v>
      </c>
      <c r="D32" s="1">
        <f t="shared" si="3"/>
        <v>0.61538461538461542</v>
      </c>
      <c r="E32" s="1">
        <f t="shared" si="4"/>
        <v>1.6265060240963856</v>
      </c>
      <c r="F32">
        <v>68</v>
      </c>
      <c r="G32">
        <v>64</v>
      </c>
      <c r="H32">
        <v>80</v>
      </c>
      <c r="I32" s="7">
        <v>20.399999999999999</v>
      </c>
      <c r="J32" s="13">
        <f t="shared" si="12"/>
        <v>50.605981436844615</v>
      </c>
      <c r="K32" s="18">
        <f t="shared" si="13"/>
        <v>54.539985132862633</v>
      </c>
      <c r="L32" s="16">
        <f t="shared" si="14"/>
        <v>7.3809597835110052</v>
      </c>
      <c r="M32" s="16">
        <v>3.61015</v>
      </c>
    </row>
    <row r="33" spans="1:13" x14ac:dyDescent="0.2">
      <c r="A33" s="7">
        <v>24</v>
      </c>
      <c r="B33">
        <v>1300</v>
      </c>
      <c r="C33">
        <v>900</v>
      </c>
      <c r="D33" s="1">
        <f t="shared" si="3"/>
        <v>0.69230769230769229</v>
      </c>
      <c r="E33" s="1">
        <f t="shared" si="4"/>
        <v>1.6265060240963856</v>
      </c>
      <c r="F33">
        <v>68</v>
      </c>
      <c r="G33">
        <v>64</v>
      </c>
      <c r="H33">
        <v>80</v>
      </c>
      <c r="I33" s="7">
        <v>20.2</v>
      </c>
      <c r="J33" s="13">
        <f t="shared" si="12"/>
        <v>50.605981436844615</v>
      </c>
      <c r="K33" s="18">
        <f t="shared" si="13"/>
        <v>54.539985132862633</v>
      </c>
      <c r="L33" s="16">
        <f t="shared" si="14"/>
        <v>7.8286900718787358</v>
      </c>
      <c r="M33" s="16">
        <v>3.6551399999999998</v>
      </c>
    </row>
    <row r="34" spans="1:13" x14ac:dyDescent="0.2">
      <c r="A34" s="7">
        <v>24</v>
      </c>
      <c r="B34">
        <v>1300</v>
      </c>
      <c r="C34">
        <v>1000</v>
      </c>
      <c r="D34" s="1">
        <f t="shared" si="3"/>
        <v>0.76923076923076927</v>
      </c>
      <c r="E34" s="1">
        <f t="shared" si="4"/>
        <v>1.6265060240963856</v>
      </c>
      <c r="F34">
        <v>68</v>
      </c>
      <c r="G34">
        <v>64</v>
      </c>
      <c r="H34">
        <v>80</v>
      </c>
      <c r="I34" s="7">
        <v>20</v>
      </c>
      <c r="J34" s="13">
        <f t="shared" si="12"/>
        <v>50.605981436844615</v>
      </c>
      <c r="K34" s="18">
        <f t="shared" si="13"/>
        <v>54.539985132862633</v>
      </c>
      <c r="L34" s="16">
        <f t="shared" si="14"/>
        <v>8.2521639075613695</v>
      </c>
      <c r="M34" s="16">
        <v>3.6934999999999998</v>
      </c>
    </row>
    <row r="35" spans="1:13" x14ac:dyDescent="0.2">
      <c r="A35" s="7">
        <v>24</v>
      </c>
      <c r="B35">
        <v>1300</v>
      </c>
      <c r="C35">
        <v>1300</v>
      </c>
      <c r="D35" s="1">
        <v>1</v>
      </c>
      <c r="E35" s="1">
        <v>1.6265060240963856</v>
      </c>
      <c r="F35">
        <v>68</v>
      </c>
      <c r="G35">
        <v>64</v>
      </c>
      <c r="H35">
        <v>80</v>
      </c>
      <c r="I35" s="7">
        <v>19.600000000000001</v>
      </c>
      <c r="J35" s="13">
        <v>50.605981436844615</v>
      </c>
      <c r="K35" s="18">
        <v>54.539985132862633</v>
      </c>
      <c r="L35" s="16">
        <v>9.4089144912915472</v>
      </c>
      <c r="M35" s="16">
        <v>3.7812299999999999</v>
      </c>
    </row>
    <row r="36" spans="1:13" x14ac:dyDescent="0.2">
      <c r="A36" s="7">
        <v>24</v>
      </c>
      <c r="B36">
        <v>1300</v>
      </c>
      <c r="C36">
        <v>1500</v>
      </c>
      <c r="D36" s="1">
        <v>1.1538461538461537</v>
      </c>
      <c r="E36" s="1">
        <v>1.6265060240963856</v>
      </c>
      <c r="F36">
        <v>68</v>
      </c>
      <c r="G36">
        <v>64</v>
      </c>
      <c r="H36">
        <v>80</v>
      </c>
      <c r="I36" s="7">
        <v>19.399999999999999</v>
      </c>
      <c r="J36" s="13">
        <v>50.605981436844615</v>
      </c>
      <c r="K36" s="18">
        <v>54.539985132862633</v>
      </c>
      <c r="L36" s="16">
        <v>10.106795423668562</v>
      </c>
      <c r="M36" s="16">
        <v>3.82443</v>
      </c>
    </row>
    <row r="37" spans="1:13" x14ac:dyDescent="0.2">
      <c r="A37" s="7">
        <v>24</v>
      </c>
      <c r="B37">
        <v>1300</v>
      </c>
      <c r="C37">
        <v>1700</v>
      </c>
      <c r="D37" s="1">
        <v>1.1538461538461537</v>
      </c>
      <c r="E37" s="1">
        <v>1.6265060240963856</v>
      </c>
      <c r="F37">
        <v>68</v>
      </c>
      <c r="G37">
        <v>64</v>
      </c>
      <c r="H37">
        <v>80</v>
      </c>
      <c r="I37" s="7">
        <v>19.2</v>
      </c>
      <c r="J37" s="13">
        <v>50.605981436844615</v>
      </c>
      <c r="K37" s="18">
        <v>54.539985132862633</v>
      </c>
      <c r="L37" s="16">
        <v>10.106795423668562</v>
      </c>
      <c r="M37" s="16">
        <v>3.85955</v>
      </c>
    </row>
    <row r="38" spans="1:13" x14ac:dyDescent="0.2">
      <c r="A38" s="8">
        <v>24</v>
      </c>
      <c r="B38" s="9">
        <v>1300</v>
      </c>
      <c r="C38" s="9">
        <v>2000</v>
      </c>
      <c r="D38" s="11">
        <f t="shared" si="3"/>
        <v>1.5384615384615385</v>
      </c>
      <c r="E38" s="11">
        <f t="shared" si="4"/>
        <v>1.6265060240963856</v>
      </c>
      <c r="F38" s="9">
        <v>68</v>
      </c>
      <c r="G38" s="9">
        <v>64</v>
      </c>
      <c r="H38" s="9">
        <v>80</v>
      </c>
      <c r="I38" s="8">
        <v>19.100000000000001</v>
      </c>
      <c r="J38" s="14">
        <f>SQRT(2*(F38+2*G38)*H38*E38^(-1/4)*1/A38^(3/4))</f>
        <v>50.605981436844615</v>
      </c>
      <c r="K38" s="19">
        <f>J38*SQRT((1+SQRT(E38/A38)))/(1+1/A38)</f>
        <v>54.539985132862633</v>
      </c>
      <c r="L38" s="3">
        <f>SQRT(8*SQRT(2*PI())*C38)*SQRT(H38*$T$2)*(E38/A38)^(1/8)</f>
        <v>11.670322116999046</v>
      </c>
      <c r="M38" s="3">
        <v>3.9015399999999998</v>
      </c>
    </row>
    <row r="39" spans="1:13" x14ac:dyDescent="0.2">
      <c r="A39" s="7">
        <v>24</v>
      </c>
      <c r="B39">
        <v>3000</v>
      </c>
      <c r="C39">
        <v>10</v>
      </c>
      <c r="D39" s="1">
        <f t="shared" ref="D39:D51" si="15">C39/B39</f>
        <v>3.3333333333333335E-3</v>
      </c>
      <c r="E39" s="1">
        <f t="shared" si="4"/>
        <v>1.6265060240963856</v>
      </c>
      <c r="F39">
        <v>68</v>
      </c>
      <c r="G39">
        <v>64</v>
      </c>
      <c r="H39">
        <v>80</v>
      </c>
      <c r="I39" s="7">
        <v>48.2</v>
      </c>
      <c r="J39" s="13">
        <f t="shared" ref="J39:J41" si="16">SQRT(2*(F39+2*G39)*H39*E39^(-1/4)*1/A39^(3/4))</f>
        <v>50.605981436844615</v>
      </c>
      <c r="K39" s="18">
        <f t="shared" ref="K39:K41" si="17">J39*SQRT((1+SQRT(E39/A39)))/(1+1/A39)</f>
        <v>54.539985132862633</v>
      </c>
      <c r="L39" s="16">
        <f t="shared" ref="L39:L51" si="18">SQRT(8*SQRT(2*PI())*C39)*SQRT(H39*$T$2)*(E39/A39)^(1/8)</f>
        <v>0.82521639075613695</v>
      </c>
      <c r="M39" s="16">
        <v>0.46279100000000001</v>
      </c>
    </row>
    <row r="40" spans="1:13" x14ac:dyDescent="0.2">
      <c r="A40" s="7">
        <v>24</v>
      </c>
      <c r="B40">
        <v>3000</v>
      </c>
      <c r="C40">
        <v>20</v>
      </c>
      <c r="D40" s="1">
        <f t="shared" si="15"/>
        <v>6.6666666666666671E-3</v>
      </c>
      <c r="E40" s="1">
        <f t="shared" si="4"/>
        <v>1.6265060240963856</v>
      </c>
      <c r="F40">
        <v>68</v>
      </c>
      <c r="G40">
        <v>64</v>
      </c>
      <c r="H40">
        <v>80</v>
      </c>
      <c r="I40" s="7">
        <v>43.1</v>
      </c>
      <c r="J40" s="13">
        <f t="shared" si="16"/>
        <v>50.605981436844615</v>
      </c>
      <c r="K40" s="18">
        <f t="shared" si="17"/>
        <v>54.539985132862633</v>
      </c>
      <c r="L40" s="16">
        <f t="shared" si="18"/>
        <v>1.1670322116999046</v>
      </c>
      <c r="M40" s="16">
        <v>0.99520799999999998</v>
      </c>
    </row>
    <row r="41" spans="1:13" x14ac:dyDescent="0.2">
      <c r="A41" s="7">
        <v>24</v>
      </c>
      <c r="B41">
        <v>3000</v>
      </c>
      <c r="C41">
        <v>50</v>
      </c>
      <c r="D41" s="1">
        <f t="shared" si="15"/>
        <v>1.6666666666666666E-2</v>
      </c>
      <c r="E41" s="1">
        <f t="shared" si="4"/>
        <v>1.6265060240963856</v>
      </c>
      <c r="F41">
        <v>68</v>
      </c>
      <c r="G41">
        <v>64</v>
      </c>
      <c r="H41">
        <v>80</v>
      </c>
      <c r="I41" s="7">
        <v>40</v>
      </c>
      <c r="J41" s="13">
        <f t="shared" si="16"/>
        <v>50.605981436844615</v>
      </c>
      <c r="K41" s="18">
        <f t="shared" si="17"/>
        <v>54.539985132862633</v>
      </c>
      <c r="L41" s="16">
        <f t="shared" si="18"/>
        <v>1.8452399458777513</v>
      </c>
      <c r="M41" s="16">
        <v>2.1072700000000002</v>
      </c>
    </row>
    <row r="42" spans="1:13" x14ac:dyDescent="0.2">
      <c r="A42" s="7">
        <v>24</v>
      </c>
      <c r="B42">
        <v>3000</v>
      </c>
      <c r="C42">
        <v>250</v>
      </c>
      <c r="D42" s="1">
        <f t="shared" si="15"/>
        <v>8.3333333333333329E-2</v>
      </c>
      <c r="E42" s="1">
        <f t="shared" si="4"/>
        <v>1.6265060240963856</v>
      </c>
      <c r="F42">
        <v>68</v>
      </c>
      <c r="G42">
        <v>64</v>
      </c>
      <c r="H42">
        <v>80</v>
      </c>
      <c r="I42" s="7">
        <v>22.4</v>
      </c>
      <c r="J42" s="13">
        <f t="shared" ref="J42:J48" si="19">SQRT(2*(F42+2*G42)*H42*E42^(-1/4)*1/A42^(3/4))</f>
        <v>50.605981436844615</v>
      </c>
      <c r="K42" s="18">
        <f t="shared" ref="K42:K48" si="20">J42*SQRT((1+SQRT(E42/A42)))/(1+1/A42)</f>
        <v>54.539985132862633</v>
      </c>
      <c r="L42" s="16">
        <f t="shared" si="18"/>
        <v>4.1260819537806848</v>
      </c>
      <c r="M42" s="16">
        <v>3.5361600000000002</v>
      </c>
    </row>
    <row r="43" spans="1:13" x14ac:dyDescent="0.2">
      <c r="A43" s="7">
        <v>24</v>
      </c>
      <c r="B43">
        <v>3000</v>
      </c>
      <c r="C43">
        <v>500</v>
      </c>
      <c r="D43" s="1">
        <f t="shared" si="15"/>
        <v>0.16666666666666666</v>
      </c>
      <c r="E43" s="1">
        <f t="shared" si="4"/>
        <v>1.6265060240963856</v>
      </c>
      <c r="F43">
        <v>68</v>
      </c>
      <c r="G43">
        <v>64</v>
      </c>
      <c r="H43">
        <v>80</v>
      </c>
      <c r="I43" s="7">
        <v>19.7</v>
      </c>
      <c r="J43" s="13">
        <f t="shared" si="19"/>
        <v>50.605981436844615</v>
      </c>
      <c r="K43" s="18">
        <f t="shared" si="20"/>
        <v>54.539985132862633</v>
      </c>
      <c r="L43" s="16">
        <f t="shared" si="18"/>
        <v>5.8351610584995228</v>
      </c>
      <c r="M43" s="16">
        <v>4.0156200000000002</v>
      </c>
    </row>
    <row r="44" spans="1:13" x14ac:dyDescent="0.2">
      <c r="A44" s="7">
        <v>24</v>
      </c>
      <c r="B44">
        <v>3000</v>
      </c>
      <c r="C44">
        <v>750</v>
      </c>
      <c r="D44" s="1">
        <f t="shared" si="15"/>
        <v>0.25</v>
      </c>
      <c r="E44" s="1">
        <f t="shared" si="4"/>
        <v>1.6265060240963856</v>
      </c>
      <c r="F44">
        <v>68</v>
      </c>
      <c r="G44">
        <v>64</v>
      </c>
      <c r="H44">
        <v>80</v>
      </c>
      <c r="I44" s="7">
        <v>18.600000000000001</v>
      </c>
      <c r="J44" s="13">
        <f t="shared" si="19"/>
        <v>50.605981436844615</v>
      </c>
      <c r="K44" s="18">
        <f t="shared" si="20"/>
        <v>54.539985132862633</v>
      </c>
      <c r="L44" s="16">
        <f t="shared" si="18"/>
        <v>7.1465835801412059</v>
      </c>
      <c r="M44" s="16">
        <v>4.2643399999999998</v>
      </c>
    </row>
    <row r="45" spans="1:13" x14ac:dyDescent="0.2">
      <c r="A45" s="7">
        <v>24</v>
      </c>
      <c r="B45">
        <v>3000</v>
      </c>
      <c r="C45">
        <v>1000</v>
      </c>
      <c r="D45" s="1">
        <f t="shared" si="15"/>
        <v>0.33333333333333331</v>
      </c>
      <c r="E45" s="1">
        <f t="shared" si="4"/>
        <v>1.6265060240963856</v>
      </c>
      <c r="F45">
        <v>68</v>
      </c>
      <c r="G45">
        <v>64</v>
      </c>
      <c r="H45">
        <v>80</v>
      </c>
      <c r="I45" s="7">
        <v>18</v>
      </c>
      <c r="J45" s="13">
        <f t="shared" si="19"/>
        <v>50.605981436844615</v>
      </c>
      <c r="K45" s="18">
        <f t="shared" si="20"/>
        <v>54.539985132862633</v>
      </c>
      <c r="L45" s="16">
        <f t="shared" si="18"/>
        <v>8.2521639075613695</v>
      </c>
      <c r="M45" s="16">
        <v>4.4246499999999997</v>
      </c>
    </row>
    <row r="46" spans="1:13" x14ac:dyDescent="0.2">
      <c r="A46" s="7">
        <v>24</v>
      </c>
      <c r="B46">
        <v>3000</v>
      </c>
      <c r="C46">
        <v>1500</v>
      </c>
      <c r="D46" s="1">
        <f t="shared" si="15"/>
        <v>0.5</v>
      </c>
      <c r="E46" s="1">
        <f t="shared" si="4"/>
        <v>1.6265060240963856</v>
      </c>
      <c r="F46">
        <v>68</v>
      </c>
      <c r="G46">
        <v>64</v>
      </c>
      <c r="H46">
        <v>80</v>
      </c>
      <c r="I46" s="7">
        <v>17.3</v>
      </c>
      <c r="J46" s="13">
        <f t="shared" si="19"/>
        <v>50.605981436844615</v>
      </c>
      <c r="K46" s="18">
        <f t="shared" si="20"/>
        <v>54.539985132862633</v>
      </c>
      <c r="L46" s="16">
        <f t="shared" si="18"/>
        <v>10.106795423668562</v>
      </c>
      <c r="M46" s="16">
        <v>4.6253900000000003</v>
      </c>
    </row>
    <row r="47" spans="1:13" x14ac:dyDescent="0.2">
      <c r="A47" s="7">
        <v>24</v>
      </c>
      <c r="B47">
        <v>3000</v>
      </c>
      <c r="C47">
        <v>2000</v>
      </c>
      <c r="D47" s="1">
        <f t="shared" si="15"/>
        <v>0.66666666666666663</v>
      </c>
      <c r="E47" s="1">
        <f t="shared" si="4"/>
        <v>1.6265060240963856</v>
      </c>
      <c r="F47">
        <v>68</v>
      </c>
      <c r="G47">
        <v>64</v>
      </c>
      <c r="H47">
        <v>80</v>
      </c>
      <c r="I47" s="7">
        <v>16.899999999999999</v>
      </c>
      <c r="J47" s="13">
        <f t="shared" si="19"/>
        <v>50.605981436844615</v>
      </c>
      <c r="K47" s="18">
        <f t="shared" si="20"/>
        <v>54.539985132862633</v>
      </c>
      <c r="L47" s="16">
        <f t="shared" si="18"/>
        <v>11.670322116999046</v>
      </c>
      <c r="M47" s="16">
        <v>4.7488299999999999</v>
      </c>
    </row>
    <row r="48" spans="1:13" x14ac:dyDescent="0.2">
      <c r="A48" s="7">
        <v>24</v>
      </c>
      <c r="B48">
        <v>3000</v>
      </c>
      <c r="C48">
        <v>2500</v>
      </c>
      <c r="D48" s="1">
        <f t="shared" si="15"/>
        <v>0.83333333333333337</v>
      </c>
      <c r="E48" s="1">
        <f t="shared" si="4"/>
        <v>1.6265060240963856</v>
      </c>
      <c r="F48">
        <v>68</v>
      </c>
      <c r="G48">
        <v>64</v>
      </c>
      <c r="H48">
        <v>80</v>
      </c>
      <c r="I48" s="7">
        <v>16.600000000000001</v>
      </c>
      <c r="J48" s="13">
        <f t="shared" si="19"/>
        <v>50.605981436844615</v>
      </c>
      <c r="K48" s="18">
        <f t="shared" si="20"/>
        <v>54.539985132862633</v>
      </c>
      <c r="L48" s="16">
        <f t="shared" si="18"/>
        <v>13.047816786464558</v>
      </c>
      <c r="M48" s="16">
        <v>4.8334799999999998</v>
      </c>
    </row>
    <row r="49" spans="1:13" x14ac:dyDescent="0.2">
      <c r="A49" s="7">
        <v>24</v>
      </c>
      <c r="B49">
        <v>3000</v>
      </c>
      <c r="C49">
        <v>3000</v>
      </c>
      <c r="D49" s="1">
        <f t="shared" si="15"/>
        <v>1</v>
      </c>
      <c r="E49" s="1">
        <v>1.6265060240963856</v>
      </c>
      <c r="F49">
        <v>68</v>
      </c>
      <c r="G49">
        <v>64</v>
      </c>
      <c r="H49">
        <v>80</v>
      </c>
      <c r="I49" s="7">
        <v>16.5</v>
      </c>
      <c r="J49" s="13">
        <v>50.605981436844615</v>
      </c>
      <c r="K49" s="18">
        <v>54.539985132862633</v>
      </c>
      <c r="L49" s="16">
        <f t="shared" si="18"/>
        <v>14.293167160282412</v>
      </c>
      <c r="M49" s="16">
        <v>4.8955099999999998</v>
      </c>
    </row>
    <row r="50" spans="1:13" x14ac:dyDescent="0.2">
      <c r="A50" s="7">
        <v>24</v>
      </c>
      <c r="B50">
        <v>3000</v>
      </c>
      <c r="C50">
        <v>3500</v>
      </c>
      <c r="D50" s="1">
        <f t="shared" si="15"/>
        <v>1.1666666666666667</v>
      </c>
      <c r="E50" s="1">
        <v>1.6265060240963856</v>
      </c>
      <c r="F50">
        <v>68</v>
      </c>
      <c r="G50">
        <v>64</v>
      </c>
      <c r="H50">
        <v>80</v>
      </c>
      <c r="I50" s="7">
        <v>16.399999999999999</v>
      </c>
      <c r="J50" s="13">
        <v>50.605981436844615</v>
      </c>
      <c r="K50" s="18">
        <v>54.539985132862633</v>
      </c>
      <c r="L50" s="16">
        <f t="shared" si="18"/>
        <v>15.43838502079816</v>
      </c>
      <c r="M50" s="16">
        <v>4.9430800000000001</v>
      </c>
    </row>
    <row r="51" spans="1:13" x14ac:dyDescent="0.2">
      <c r="A51" s="8">
        <v>24</v>
      </c>
      <c r="B51" s="9">
        <v>3000</v>
      </c>
      <c r="C51" s="9">
        <v>4000</v>
      </c>
      <c r="D51" s="11">
        <f t="shared" si="15"/>
        <v>1.3333333333333333</v>
      </c>
      <c r="E51" s="11">
        <f t="shared" si="4"/>
        <v>1.6265060240963856</v>
      </c>
      <c r="F51" s="9">
        <v>68</v>
      </c>
      <c r="G51" s="9">
        <v>64</v>
      </c>
      <c r="H51" s="9">
        <v>80</v>
      </c>
      <c r="I51" s="8">
        <v>16.3</v>
      </c>
      <c r="J51" s="14">
        <f>SQRT(2*(F51+2*G51)*H51*E51^(-1/4)*1/A51^(3/4))</f>
        <v>50.605981436844615</v>
      </c>
      <c r="K51" s="19">
        <f>J51*SQRT((1+SQRT(E51/A51)))/(1+1/A51)</f>
        <v>54.539985132862633</v>
      </c>
      <c r="L51" s="3">
        <f t="shared" si="18"/>
        <v>16.504327815122739</v>
      </c>
      <c r="M51" s="3">
        <v>4.9807800000000002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0AD8-838A-B34C-A9FD-0700D7359996}">
  <dimension ref="A1:Q36"/>
  <sheetViews>
    <sheetView workbookViewId="0">
      <selection activeCell="Q53" sqref="Q53"/>
    </sheetView>
  </sheetViews>
  <sheetFormatPr baseColWidth="10" defaultRowHeight="16" x14ac:dyDescent="0.2"/>
  <cols>
    <col min="10" max="10" width="11.83203125" bestFit="1" customWidth="1"/>
    <col min="17" max="17" width="12.1640625" bestFit="1" customWidth="1"/>
  </cols>
  <sheetData>
    <row r="1" spans="1:17" x14ac:dyDescent="0.2">
      <c r="A1" s="4" t="s">
        <v>0</v>
      </c>
      <c r="B1" s="5" t="s">
        <v>1</v>
      </c>
      <c r="C1" s="5" t="s">
        <v>2</v>
      </c>
      <c r="D1" s="5" t="s">
        <v>13</v>
      </c>
      <c r="E1" s="5" t="s">
        <v>9</v>
      </c>
      <c r="F1" s="5" t="s">
        <v>4</v>
      </c>
      <c r="G1" s="5" t="s">
        <v>3</v>
      </c>
      <c r="H1" s="5" t="s">
        <v>5</v>
      </c>
      <c r="I1" s="4" t="s">
        <v>6</v>
      </c>
      <c r="J1" s="6" t="s">
        <v>14</v>
      </c>
      <c r="Q1" t="s">
        <v>11</v>
      </c>
    </row>
    <row r="2" spans="1:17" x14ac:dyDescent="0.2">
      <c r="A2" s="4">
        <v>24</v>
      </c>
      <c r="B2" s="5">
        <v>5000</v>
      </c>
      <c r="C2" s="5">
        <v>2000</v>
      </c>
      <c r="D2" s="5">
        <f>C2/B2</f>
        <v>0.4</v>
      </c>
      <c r="E2" s="10">
        <f>270/166</f>
        <v>1.6265060240963856</v>
      </c>
      <c r="F2" s="5">
        <v>68</v>
      </c>
      <c r="G2" s="5">
        <v>64</v>
      </c>
      <c r="H2" s="5">
        <v>10</v>
      </c>
      <c r="I2" s="4">
        <v>12.6</v>
      </c>
      <c r="J2" s="17">
        <f>1/SQRT(2*(1+1/A2)^2*SQRT(A2/E2)/(H2*(2*F2+G2)/A2*(1+SQRT(A2/E2))^2))</f>
        <v>15.306939449658163</v>
      </c>
      <c r="Q2">
        <f>0.0000000000529/SQRT(1.05E-34/(166*1.66E-27*2*PI()*150))</f>
        <v>8.3196426809999962E-5</v>
      </c>
    </row>
    <row r="3" spans="1:17" x14ac:dyDescent="0.2">
      <c r="A3" s="7">
        <v>24</v>
      </c>
      <c r="B3">
        <v>5000</v>
      </c>
      <c r="C3">
        <v>2000</v>
      </c>
      <c r="D3">
        <f t="shared" ref="D3:D9" si="0">C3/B3</f>
        <v>0.4</v>
      </c>
      <c r="E3" s="1">
        <f t="shared" ref="E3:E36" si="1">270/166</f>
        <v>1.6265060240963856</v>
      </c>
      <c r="F3">
        <v>68</v>
      </c>
      <c r="G3">
        <v>64</v>
      </c>
      <c r="H3">
        <v>20</v>
      </c>
      <c r="I3" s="7">
        <v>15.1</v>
      </c>
      <c r="J3" s="18">
        <f t="shared" ref="J3:J9" si="2">1/SQRT(2*(1+1/A3)^2*SQRT(A3/E3)/(H3*(2*F3+G3)/A3*(1+SQRT(A3/E3))^2))</f>
        <v>21.647281368130333</v>
      </c>
    </row>
    <row r="4" spans="1:17" x14ac:dyDescent="0.2">
      <c r="A4" s="7">
        <v>24</v>
      </c>
      <c r="B4">
        <v>5000</v>
      </c>
      <c r="C4">
        <v>2000</v>
      </c>
      <c r="D4">
        <f t="shared" si="0"/>
        <v>0.4</v>
      </c>
      <c r="E4" s="1">
        <f t="shared" si="1"/>
        <v>1.6265060240963856</v>
      </c>
      <c r="F4">
        <v>68</v>
      </c>
      <c r="G4">
        <v>64</v>
      </c>
      <c r="H4">
        <v>30</v>
      </c>
      <c r="I4" s="7">
        <v>16.899999999999999</v>
      </c>
      <c r="J4" s="18">
        <f t="shared" si="2"/>
        <v>26.51239683518833</v>
      </c>
    </row>
    <row r="5" spans="1:17" x14ac:dyDescent="0.2">
      <c r="A5" s="7">
        <v>24</v>
      </c>
      <c r="B5">
        <v>5000</v>
      </c>
      <c r="C5">
        <v>2000</v>
      </c>
      <c r="D5">
        <f t="shared" si="0"/>
        <v>0.4</v>
      </c>
      <c r="E5" s="1">
        <f t="shared" si="1"/>
        <v>1.6265060240963856</v>
      </c>
      <c r="F5">
        <v>68</v>
      </c>
      <c r="G5">
        <v>64</v>
      </c>
      <c r="H5">
        <v>40</v>
      </c>
      <c r="I5" s="7">
        <v>18.399999999999999</v>
      </c>
      <c r="J5" s="18">
        <f t="shared" si="2"/>
        <v>30.613878899316326</v>
      </c>
    </row>
    <row r="6" spans="1:17" x14ac:dyDescent="0.2">
      <c r="A6" s="7">
        <v>24</v>
      </c>
      <c r="B6">
        <v>5000</v>
      </c>
      <c r="C6">
        <v>2000</v>
      </c>
      <c r="D6">
        <f t="shared" si="0"/>
        <v>0.4</v>
      </c>
      <c r="E6" s="1">
        <f t="shared" si="1"/>
        <v>1.6265060240963856</v>
      </c>
      <c r="F6">
        <v>68</v>
      </c>
      <c r="G6">
        <v>64</v>
      </c>
      <c r="H6">
        <v>50</v>
      </c>
      <c r="I6" s="7">
        <v>19.7</v>
      </c>
      <c r="J6" s="18">
        <f t="shared" si="2"/>
        <v>34.227357136908871</v>
      </c>
    </row>
    <row r="7" spans="1:17" x14ac:dyDescent="0.2">
      <c r="A7" s="7">
        <v>24</v>
      </c>
      <c r="B7">
        <v>5000</v>
      </c>
      <c r="C7">
        <v>2000</v>
      </c>
      <c r="D7">
        <f t="shared" si="0"/>
        <v>0.4</v>
      </c>
      <c r="E7" s="1">
        <f t="shared" si="1"/>
        <v>1.6265060240963856</v>
      </c>
      <c r="F7">
        <v>68</v>
      </c>
      <c r="G7">
        <v>64</v>
      </c>
      <c r="H7">
        <v>60</v>
      </c>
      <c r="I7" s="7">
        <v>20.9</v>
      </c>
      <c r="J7" s="18">
        <f t="shared" si="2"/>
        <v>37.494191175340859</v>
      </c>
    </row>
    <row r="8" spans="1:17" x14ac:dyDescent="0.2">
      <c r="A8" s="7">
        <v>24</v>
      </c>
      <c r="B8">
        <v>5000</v>
      </c>
      <c r="C8">
        <v>2000</v>
      </c>
      <c r="D8">
        <f t="shared" si="0"/>
        <v>0.4</v>
      </c>
      <c r="E8" s="1">
        <f t="shared" si="1"/>
        <v>1.6265060240963856</v>
      </c>
      <c r="F8">
        <v>68</v>
      </c>
      <c r="G8">
        <v>64</v>
      </c>
      <c r="H8">
        <v>70</v>
      </c>
      <c r="I8" s="7">
        <v>22.1</v>
      </c>
      <c r="J8" s="18">
        <f t="shared" si="2"/>
        <v>40.498355117319392</v>
      </c>
    </row>
    <row r="9" spans="1:17" x14ac:dyDescent="0.2">
      <c r="A9" s="8">
        <v>24</v>
      </c>
      <c r="B9" s="9">
        <v>5000</v>
      </c>
      <c r="C9" s="9">
        <v>2000</v>
      </c>
      <c r="D9" s="9">
        <f t="shared" si="0"/>
        <v>0.4</v>
      </c>
      <c r="E9" s="11">
        <f t="shared" si="1"/>
        <v>1.6265060240963856</v>
      </c>
      <c r="F9" s="9">
        <v>68</v>
      </c>
      <c r="G9" s="9">
        <v>64</v>
      </c>
      <c r="H9" s="9">
        <v>80</v>
      </c>
      <c r="I9" s="8">
        <v>23.1</v>
      </c>
      <c r="J9" s="19">
        <f t="shared" si="2"/>
        <v>43.294562736260666</v>
      </c>
    </row>
    <row r="10" spans="1:17" x14ac:dyDescent="0.2">
      <c r="A10" s="4">
        <v>24</v>
      </c>
      <c r="B10" s="5">
        <v>5000</v>
      </c>
      <c r="C10" s="5">
        <v>2000</v>
      </c>
      <c r="D10" s="5">
        <f>C10/B10</f>
        <v>0.4</v>
      </c>
      <c r="E10" s="10">
        <f>270/166</f>
        <v>1.6265060240963856</v>
      </c>
      <c r="F10" s="5">
        <v>65</v>
      </c>
      <c r="G10" s="5">
        <v>64</v>
      </c>
      <c r="H10" s="5">
        <v>80</v>
      </c>
      <c r="I10" s="4">
        <v>21.2</v>
      </c>
      <c r="J10" s="17">
        <f>1/SQRT(2*(1+1/A10)^2*SQRT(A10/E10)/(H10*(2*F10+G10)/A10*(1+SQRT(A10/E10))^2))</f>
        <v>42.640199198037173</v>
      </c>
    </row>
    <row r="11" spans="1:17" x14ac:dyDescent="0.2">
      <c r="A11" s="7">
        <v>24</v>
      </c>
      <c r="B11">
        <v>5000</v>
      </c>
      <c r="C11">
        <v>2000</v>
      </c>
      <c r="D11">
        <f t="shared" ref="D11:D17" si="3">C11/B11</f>
        <v>0.4</v>
      </c>
      <c r="E11" s="1">
        <f t="shared" si="1"/>
        <v>1.6265060240963856</v>
      </c>
      <c r="F11">
        <v>75</v>
      </c>
      <c r="G11">
        <v>64</v>
      </c>
      <c r="H11">
        <v>80</v>
      </c>
      <c r="I11" s="7">
        <v>26.8</v>
      </c>
      <c r="J11" s="18">
        <f t="shared" ref="J11:J17" si="4">1/SQRT(2*(1+1/A11)^2*SQRT(A11/E11)/(H11*(2*F11+G11)/A11*(1+SQRT(A11/E11))^2))</f>
        <v>44.784243924629244</v>
      </c>
    </row>
    <row r="12" spans="1:17" x14ac:dyDescent="0.2">
      <c r="A12" s="7">
        <v>24</v>
      </c>
      <c r="B12">
        <v>5000</v>
      </c>
      <c r="C12">
        <v>2000</v>
      </c>
      <c r="D12">
        <f t="shared" si="3"/>
        <v>0.4</v>
      </c>
      <c r="E12" s="1">
        <f t="shared" si="1"/>
        <v>1.6265060240963856</v>
      </c>
      <c r="F12">
        <v>85</v>
      </c>
      <c r="G12">
        <v>64</v>
      </c>
      <c r="H12">
        <v>80</v>
      </c>
      <c r="I12" s="7">
        <v>31.1</v>
      </c>
      <c r="J12" s="18">
        <f t="shared" si="4"/>
        <v>46.830229768314105</v>
      </c>
    </row>
    <row r="13" spans="1:17" x14ac:dyDescent="0.2">
      <c r="A13" s="7">
        <v>24</v>
      </c>
      <c r="B13">
        <v>5000</v>
      </c>
      <c r="C13">
        <v>2000</v>
      </c>
      <c r="D13">
        <f t="shared" si="3"/>
        <v>0.4</v>
      </c>
      <c r="E13" s="1">
        <f t="shared" si="1"/>
        <v>1.6265060240963856</v>
      </c>
      <c r="F13">
        <v>95</v>
      </c>
      <c r="G13">
        <v>64</v>
      </c>
      <c r="H13">
        <v>80</v>
      </c>
      <c r="I13" s="7">
        <v>34.700000000000003</v>
      </c>
      <c r="J13" s="18">
        <f t="shared" si="4"/>
        <v>48.790494324258432</v>
      </c>
    </row>
    <row r="14" spans="1:17" x14ac:dyDescent="0.2">
      <c r="A14" s="7">
        <v>24</v>
      </c>
      <c r="B14">
        <v>5000</v>
      </c>
      <c r="C14">
        <v>2000</v>
      </c>
      <c r="D14">
        <f t="shared" si="3"/>
        <v>0.4</v>
      </c>
      <c r="E14" s="1">
        <f t="shared" si="1"/>
        <v>1.6265060240963856</v>
      </c>
      <c r="F14">
        <v>105</v>
      </c>
      <c r="G14">
        <v>64</v>
      </c>
      <c r="H14">
        <v>80</v>
      </c>
      <c r="I14" s="7">
        <v>37.9</v>
      </c>
      <c r="J14" s="18">
        <f t="shared" si="4"/>
        <v>50.674986459375553</v>
      </c>
    </row>
    <row r="15" spans="1:17" x14ac:dyDescent="0.2">
      <c r="A15" s="7">
        <v>24</v>
      </c>
      <c r="B15">
        <v>5000</v>
      </c>
      <c r="C15">
        <v>2000</v>
      </c>
      <c r="D15">
        <f t="shared" si="3"/>
        <v>0.4</v>
      </c>
      <c r="E15" s="1">
        <f t="shared" si="1"/>
        <v>1.6265060240963856</v>
      </c>
      <c r="F15">
        <v>115</v>
      </c>
      <c r="G15">
        <v>64</v>
      </c>
      <c r="H15">
        <v>80</v>
      </c>
      <c r="I15" s="7">
        <v>40.799999999999997</v>
      </c>
      <c r="J15" s="18">
        <f t="shared" si="4"/>
        <v>52.491867645477193</v>
      </c>
    </row>
    <row r="16" spans="1:17" x14ac:dyDescent="0.2">
      <c r="A16" s="7">
        <v>24</v>
      </c>
      <c r="B16">
        <v>5000</v>
      </c>
      <c r="C16">
        <v>2000</v>
      </c>
      <c r="D16">
        <f t="shared" si="3"/>
        <v>0.4</v>
      </c>
      <c r="E16" s="1">
        <f t="shared" si="1"/>
        <v>1.6265060240963856</v>
      </c>
      <c r="F16">
        <v>125</v>
      </c>
      <c r="G16">
        <v>64</v>
      </c>
      <c r="H16">
        <v>80</v>
      </c>
      <c r="I16" s="7">
        <v>43.5</v>
      </c>
      <c r="J16" s="18">
        <f t="shared" si="4"/>
        <v>54.247931621055358</v>
      </c>
    </row>
    <row r="17" spans="1:10" x14ac:dyDescent="0.2">
      <c r="A17" s="8">
        <v>24</v>
      </c>
      <c r="B17" s="9">
        <v>5000</v>
      </c>
      <c r="C17" s="9">
        <v>2000</v>
      </c>
      <c r="D17" s="9">
        <f t="shared" si="3"/>
        <v>0.4</v>
      </c>
      <c r="E17" s="11">
        <f t="shared" si="1"/>
        <v>1.6265060240963856</v>
      </c>
      <c r="F17" s="9">
        <v>135</v>
      </c>
      <c r="G17" s="9">
        <v>64</v>
      </c>
      <c r="H17" s="9">
        <v>80</v>
      </c>
      <c r="I17" s="8">
        <v>45.9</v>
      </c>
      <c r="J17" s="19">
        <f t="shared" si="4"/>
        <v>55.948905274501101</v>
      </c>
    </row>
    <row r="18" spans="1:10" x14ac:dyDescent="0.2">
      <c r="A18" s="4">
        <v>1</v>
      </c>
      <c r="B18" s="5">
        <v>5000</v>
      </c>
      <c r="C18" s="5">
        <v>2000</v>
      </c>
      <c r="D18" s="5">
        <f>C18/B18</f>
        <v>0.4</v>
      </c>
      <c r="E18" s="10">
        <f>270/166</f>
        <v>1.6265060240963856</v>
      </c>
      <c r="F18" s="5">
        <v>68</v>
      </c>
      <c r="G18" s="5">
        <v>64</v>
      </c>
      <c r="H18" s="5">
        <v>80</v>
      </c>
      <c r="I18" s="4">
        <v>40.799999999999997</v>
      </c>
      <c r="J18" s="17">
        <f>1/SQRT(2*(1+1/A18)^2*SQRT(A18/E18)/(H18*(2*F18+G18)/A18*(1+SQRT(A18/E18))^2))</f>
        <v>90.104902544349116</v>
      </c>
    </row>
    <row r="19" spans="1:10" x14ac:dyDescent="0.2">
      <c r="A19" s="7">
        <v>5</v>
      </c>
      <c r="B19">
        <v>5000</v>
      </c>
      <c r="C19">
        <v>2000</v>
      </c>
      <c r="D19">
        <f t="shared" ref="D19:D25" si="5">C19/B19</f>
        <v>0.4</v>
      </c>
      <c r="E19" s="1">
        <f t="shared" si="1"/>
        <v>1.6265060240963856</v>
      </c>
      <c r="F19">
        <v>68</v>
      </c>
      <c r="G19">
        <v>64</v>
      </c>
      <c r="H19">
        <v>80</v>
      </c>
      <c r="I19" s="7">
        <v>33.5</v>
      </c>
      <c r="J19" s="18">
        <f t="shared" ref="J19:J25" si="6">1/SQRT(2*(1+1/A19)^2*SQRT(A19/E19)/(H19*(2*F19+G19)/A19*(1+SQRT(A19/E19))^2))</f>
        <v>69.311339342102045</v>
      </c>
    </row>
    <row r="20" spans="1:10" x14ac:dyDescent="0.2">
      <c r="A20" s="7">
        <v>10</v>
      </c>
      <c r="B20">
        <v>5000</v>
      </c>
      <c r="C20">
        <v>2000</v>
      </c>
      <c r="D20">
        <f t="shared" si="5"/>
        <v>0.4</v>
      </c>
      <c r="E20" s="1">
        <f t="shared" si="1"/>
        <v>1.6265060240963856</v>
      </c>
      <c r="F20">
        <v>68</v>
      </c>
      <c r="G20">
        <v>64</v>
      </c>
      <c r="H20">
        <v>80</v>
      </c>
      <c r="I20" s="7">
        <v>28.6</v>
      </c>
      <c r="J20" s="18">
        <f t="shared" si="6"/>
        <v>56.818374396765826</v>
      </c>
    </row>
    <row r="21" spans="1:10" x14ac:dyDescent="0.2">
      <c r="A21" s="7">
        <v>15</v>
      </c>
      <c r="B21">
        <v>5000</v>
      </c>
      <c r="C21">
        <v>2000</v>
      </c>
      <c r="D21">
        <f t="shared" si="5"/>
        <v>0.4</v>
      </c>
      <c r="E21" s="1">
        <f t="shared" si="1"/>
        <v>1.6265060240963856</v>
      </c>
      <c r="F21">
        <v>68</v>
      </c>
      <c r="G21">
        <v>64</v>
      </c>
      <c r="H21">
        <v>80</v>
      </c>
      <c r="I21" s="7">
        <v>25.9</v>
      </c>
      <c r="J21" s="18">
        <f t="shared" si="6"/>
        <v>50.15337712808379</v>
      </c>
    </row>
    <row r="22" spans="1:10" x14ac:dyDescent="0.2">
      <c r="A22" s="7">
        <v>20</v>
      </c>
      <c r="B22">
        <v>5000</v>
      </c>
      <c r="C22">
        <v>2000</v>
      </c>
      <c r="D22">
        <f t="shared" si="5"/>
        <v>0.4</v>
      </c>
      <c r="E22" s="1">
        <f t="shared" si="1"/>
        <v>1.6265060240963856</v>
      </c>
      <c r="F22">
        <v>68</v>
      </c>
      <c r="G22">
        <v>64</v>
      </c>
      <c r="H22">
        <v>80</v>
      </c>
      <c r="I22" s="7">
        <v>24.1</v>
      </c>
      <c r="J22" s="18">
        <f t="shared" si="6"/>
        <v>45.840236936322185</v>
      </c>
    </row>
    <row r="23" spans="1:10" x14ac:dyDescent="0.2">
      <c r="A23" s="7">
        <v>24</v>
      </c>
      <c r="B23">
        <v>5000</v>
      </c>
      <c r="C23">
        <v>2000</v>
      </c>
      <c r="D23">
        <f t="shared" si="5"/>
        <v>0.4</v>
      </c>
      <c r="E23" s="1">
        <f t="shared" si="1"/>
        <v>1.6265060240963856</v>
      </c>
      <c r="F23">
        <v>68</v>
      </c>
      <c r="G23">
        <v>64</v>
      </c>
      <c r="H23">
        <v>80</v>
      </c>
      <c r="I23" s="7">
        <v>23.1</v>
      </c>
      <c r="J23" s="18">
        <f t="shared" si="6"/>
        <v>43.294562736260666</v>
      </c>
    </row>
    <row r="24" spans="1:10" x14ac:dyDescent="0.2">
      <c r="A24" s="7">
        <v>30</v>
      </c>
      <c r="B24">
        <v>5000</v>
      </c>
      <c r="C24">
        <v>2000</v>
      </c>
      <c r="D24">
        <f t="shared" si="5"/>
        <v>0.4</v>
      </c>
      <c r="E24" s="1">
        <f t="shared" si="1"/>
        <v>1.6265060240963856</v>
      </c>
      <c r="F24">
        <v>68</v>
      </c>
      <c r="G24">
        <v>64</v>
      </c>
      <c r="H24">
        <v>80</v>
      </c>
      <c r="I24" s="7">
        <v>21.9</v>
      </c>
      <c r="J24" s="18">
        <f t="shared" si="6"/>
        <v>40.375587559167968</v>
      </c>
    </row>
    <row r="25" spans="1:10" x14ac:dyDescent="0.2">
      <c r="A25" s="8">
        <v>35</v>
      </c>
      <c r="B25" s="9">
        <v>5000</v>
      </c>
      <c r="C25" s="9">
        <v>2000</v>
      </c>
      <c r="D25" s="9">
        <f t="shared" si="5"/>
        <v>0.4</v>
      </c>
      <c r="E25" s="11">
        <f t="shared" si="1"/>
        <v>1.6265060240963856</v>
      </c>
      <c r="F25" s="9">
        <v>68</v>
      </c>
      <c r="G25" s="9">
        <v>64</v>
      </c>
      <c r="H25" s="9">
        <v>80</v>
      </c>
      <c r="I25" s="8">
        <v>21.1</v>
      </c>
      <c r="J25" s="19">
        <f t="shared" si="6"/>
        <v>38.482258674029303</v>
      </c>
    </row>
    <row r="26" spans="1:10" x14ac:dyDescent="0.2">
      <c r="A26" s="4">
        <v>24</v>
      </c>
      <c r="B26" s="5">
        <v>5000</v>
      </c>
      <c r="C26" s="5">
        <v>100</v>
      </c>
      <c r="D26" s="5">
        <f>C26/B26</f>
        <v>0.02</v>
      </c>
      <c r="E26" s="10">
        <f>270/166</f>
        <v>1.6265060240963856</v>
      </c>
      <c r="F26" s="5">
        <v>68</v>
      </c>
      <c r="G26" s="5">
        <v>64</v>
      </c>
      <c r="H26" s="5">
        <v>80</v>
      </c>
      <c r="I26" s="4">
        <v>41.4</v>
      </c>
      <c r="J26" s="17">
        <f>1/SQRT(2*(1+1/A26)^2*SQRT(A26/E26)/(H26*(2*F26+G26)/A26*(1+SQRT(A26/E26))^2))</f>
        <v>43.294562736260666</v>
      </c>
    </row>
    <row r="27" spans="1:10" x14ac:dyDescent="0.2">
      <c r="A27" s="7">
        <v>24</v>
      </c>
      <c r="B27">
        <v>5000</v>
      </c>
      <c r="C27">
        <v>500</v>
      </c>
      <c r="D27">
        <f t="shared" ref="D27:D32" si="7">C27/B27</f>
        <v>0.1</v>
      </c>
      <c r="E27" s="1">
        <f t="shared" si="1"/>
        <v>1.6265060240963856</v>
      </c>
      <c r="F27">
        <v>68</v>
      </c>
      <c r="G27">
        <v>64</v>
      </c>
      <c r="H27">
        <v>80</v>
      </c>
      <c r="I27" s="7">
        <v>30.3</v>
      </c>
      <c r="J27" s="18">
        <f t="shared" ref="J27:J32" si="8">1/SQRT(2*(1+1/A27)^2*SQRT(A27/E27)/(H27*(2*F27+G27)/A27*(1+SQRT(A27/E27))^2))</f>
        <v>43.294562736260666</v>
      </c>
    </row>
    <row r="28" spans="1:10" x14ac:dyDescent="0.2">
      <c r="A28" s="7">
        <v>24</v>
      </c>
      <c r="B28">
        <v>5000</v>
      </c>
      <c r="C28">
        <v>1000</v>
      </c>
      <c r="D28">
        <f t="shared" si="7"/>
        <v>0.2</v>
      </c>
      <c r="E28" s="1">
        <f t="shared" si="1"/>
        <v>1.6265060240963856</v>
      </c>
      <c r="F28">
        <v>68</v>
      </c>
      <c r="G28">
        <v>64</v>
      </c>
      <c r="H28">
        <v>80</v>
      </c>
      <c r="I28" s="7">
        <v>26.1</v>
      </c>
      <c r="J28" s="18">
        <f t="shared" si="8"/>
        <v>43.294562736260666</v>
      </c>
    </row>
    <row r="29" spans="1:10" x14ac:dyDescent="0.2">
      <c r="A29" s="7">
        <v>24</v>
      </c>
      <c r="B29">
        <v>5000</v>
      </c>
      <c r="C29">
        <v>2000</v>
      </c>
      <c r="D29">
        <f t="shared" si="7"/>
        <v>0.4</v>
      </c>
      <c r="E29" s="1">
        <f t="shared" si="1"/>
        <v>1.6265060240963856</v>
      </c>
      <c r="F29">
        <v>68</v>
      </c>
      <c r="G29">
        <v>64</v>
      </c>
      <c r="H29">
        <v>80</v>
      </c>
      <c r="I29" s="7">
        <v>23.1</v>
      </c>
      <c r="J29" s="18">
        <f t="shared" si="8"/>
        <v>43.294562736260666</v>
      </c>
    </row>
    <row r="30" spans="1:10" x14ac:dyDescent="0.2">
      <c r="A30" s="7">
        <v>24</v>
      </c>
      <c r="B30">
        <v>5000</v>
      </c>
      <c r="C30">
        <v>3000</v>
      </c>
      <c r="D30">
        <f t="shared" si="7"/>
        <v>0.6</v>
      </c>
      <c r="E30" s="1">
        <f t="shared" si="1"/>
        <v>1.6265060240963856</v>
      </c>
      <c r="F30">
        <v>68</v>
      </c>
      <c r="G30">
        <v>64</v>
      </c>
      <c r="H30">
        <v>80</v>
      </c>
      <c r="I30" s="7">
        <v>21.8</v>
      </c>
      <c r="J30" s="18">
        <f t="shared" si="8"/>
        <v>43.294562736260666</v>
      </c>
    </row>
    <row r="31" spans="1:10" x14ac:dyDescent="0.2">
      <c r="A31" s="7">
        <v>24</v>
      </c>
      <c r="B31">
        <v>5000</v>
      </c>
      <c r="C31">
        <v>5000</v>
      </c>
      <c r="D31">
        <f t="shared" si="7"/>
        <v>1</v>
      </c>
      <c r="E31" s="1">
        <f t="shared" si="1"/>
        <v>1.6265060240963856</v>
      </c>
      <c r="F31">
        <v>68</v>
      </c>
      <c r="G31">
        <v>64</v>
      </c>
      <c r="H31">
        <v>80</v>
      </c>
      <c r="I31" s="7">
        <v>20.7</v>
      </c>
      <c r="J31" s="18">
        <f t="shared" si="8"/>
        <v>43.294562736260666</v>
      </c>
    </row>
    <row r="32" spans="1:10" x14ac:dyDescent="0.2">
      <c r="A32" s="8">
        <v>24</v>
      </c>
      <c r="B32" s="9">
        <v>5000</v>
      </c>
      <c r="C32" s="9">
        <v>7500</v>
      </c>
      <c r="D32" s="9">
        <f t="shared" si="7"/>
        <v>1.5</v>
      </c>
      <c r="E32" s="11">
        <f t="shared" si="1"/>
        <v>1.6265060240963856</v>
      </c>
      <c r="F32" s="9">
        <v>68</v>
      </c>
      <c r="G32" s="9">
        <v>64</v>
      </c>
      <c r="H32" s="9">
        <v>80</v>
      </c>
      <c r="I32" s="8">
        <v>20</v>
      </c>
      <c r="J32" s="19">
        <f t="shared" si="8"/>
        <v>43.294562736260666</v>
      </c>
    </row>
    <row r="33" spans="1:10" x14ac:dyDescent="0.2">
      <c r="A33" s="4">
        <v>24</v>
      </c>
      <c r="B33" s="5">
        <v>1000</v>
      </c>
      <c r="C33" s="5">
        <f>0.4*B33</f>
        <v>400</v>
      </c>
      <c r="D33" s="5">
        <f>C33/B33</f>
        <v>0.4</v>
      </c>
      <c r="E33" s="10">
        <f>270/166</f>
        <v>1.6265060240963856</v>
      </c>
      <c r="F33" s="5">
        <v>68</v>
      </c>
      <c r="G33" s="5">
        <v>64</v>
      </c>
      <c r="H33" s="5">
        <v>80</v>
      </c>
      <c r="I33" s="4">
        <v>33.799999999999997</v>
      </c>
      <c r="J33" s="17">
        <f>1/SQRT(2*(1+1/A33)^2*SQRT(A33/E33)/(H33*(2*F33+G33)/A33*(1+SQRT(A33/E33))^2))</f>
        <v>43.294562736260666</v>
      </c>
    </row>
    <row r="34" spans="1:10" x14ac:dyDescent="0.2">
      <c r="A34" s="7">
        <v>24</v>
      </c>
      <c r="B34">
        <v>2500</v>
      </c>
      <c r="C34">
        <f t="shared" ref="C34:C36" si="9">0.4*B34</f>
        <v>1000</v>
      </c>
      <c r="D34">
        <f t="shared" ref="D34:D36" si="10">C34/B34</f>
        <v>0.4</v>
      </c>
      <c r="E34" s="1">
        <f t="shared" si="1"/>
        <v>1.6265060240963856</v>
      </c>
      <c r="F34">
        <v>68</v>
      </c>
      <c r="G34">
        <v>64</v>
      </c>
      <c r="H34">
        <v>80</v>
      </c>
      <c r="I34" s="7">
        <v>27.2</v>
      </c>
      <c r="J34" s="18">
        <f t="shared" ref="J34:J36" si="11">1/SQRT(2*(1+1/A34)^2*SQRT(A34/E34)/(H34*(2*F34+G34)/A34*(1+SQRT(A34/E34))^2))</f>
        <v>43.294562736260666</v>
      </c>
    </row>
    <row r="35" spans="1:10" x14ac:dyDescent="0.2">
      <c r="A35" s="7">
        <v>24</v>
      </c>
      <c r="B35">
        <v>5000</v>
      </c>
      <c r="C35">
        <f t="shared" si="9"/>
        <v>2000</v>
      </c>
      <c r="D35">
        <f t="shared" si="10"/>
        <v>0.4</v>
      </c>
      <c r="E35" s="1">
        <f t="shared" si="1"/>
        <v>1.6265060240963856</v>
      </c>
      <c r="F35">
        <v>68</v>
      </c>
      <c r="G35">
        <v>64</v>
      </c>
      <c r="H35">
        <v>80</v>
      </c>
      <c r="I35" s="7">
        <v>23.1</v>
      </c>
      <c r="J35" s="18">
        <f t="shared" si="11"/>
        <v>43.294562736260666</v>
      </c>
    </row>
    <row r="36" spans="1:10" x14ac:dyDescent="0.2">
      <c r="A36" s="8">
        <v>24</v>
      </c>
      <c r="B36" s="9">
        <v>7500</v>
      </c>
      <c r="C36" s="9">
        <f t="shared" si="9"/>
        <v>3000</v>
      </c>
      <c r="D36" s="9">
        <f t="shared" si="10"/>
        <v>0.4</v>
      </c>
      <c r="E36" s="11">
        <f t="shared" si="1"/>
        <v>1.6265060240963856</v>
      </c>
      <c r="F36" s="9">
        <v>68</v>
      </c>
      <c r="G36" s="9">
        <v>64</v>
      </c>
      <c r="H36" s="9">
        <v>80</v>
      </c>
      <c r="I36" s="8">
        <v>20.9</v>
      </c>
      <c r="J36" s="19">
        <f t="shared" si="11"/>
        <v>43.294562736260666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2D</vt:lpstr>
      <vt:lpstr>1D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 Emran</dc:creator>
  <cp:lastModifiedBy>Ruba Emran</cp:lastModifiedBy>
  <dcterms:created xsi:type="dcterms:W3CDTF">2026-03-03T18:24:52Z</dcterms:created>
  <dcterms:modified xsi:type="dcterms:W3CDTF">2026-03-07T02:48:24Z</dcterms:modified>
</cp:coreProperties>
</file>